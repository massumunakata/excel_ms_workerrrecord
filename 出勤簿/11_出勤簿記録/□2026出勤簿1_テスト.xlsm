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Desktop\出勤簿\1_従業員当月出勤簿はここへ\"/>
    </mc:Choice>
  </mc:AlternateContent>
  <xr:revisionPtr revIDLastSave="0" documentId="13_ncr:1_{CED2A382-B32C-4638-9EB3-1BFAAE3CF328}" xr6:coauthVersionLast="47" xr6:coauthVersionMax="47" xr10:uidLastSave="{00000000-0000-0000-0000-000000000000}"/>
  <bookViews>
    <workbookView xWindow="19080" yWindow="-4755" windowWidth="29040" windowHeight="16440" xr2:uid="{B879AEA6-AD98-44DF-AE02-7639DDC39871}"/>
  </bookViews>
  <sheets>
    <sheet name="出勤簿" sheetId="1" r:id="rId1"/>
    <sheet name="祝日" sheetId="2" r:id="rId2"/>
    <sheet name="設定休日" sheetId="3" r:id="rId3"/>
  </sheets>
  <functionGroups builtInGroupCount="19"/>
  <definedNames>
    <definedName name="_xlnm._FilterDatabase" localSheetId="0" hidden="1">出勤簿!$A$6:$AM$382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7" i="1" l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AJ34" i="1"/>
  <c r="I27" i="1"/>
  <c r="I28" i="1"/>
  <c r="I29" i="1"/>
  <c r="I30" i="1"/>
  <c r="I31" i="1"/>
  <c r="I32" i="1"/>
  <c r="I33" i="1"/>
  <c r="I34" i="1"/>
  <c r="I35" i="1"/>
  <c r="I36" i="1"/>
  <c r="I37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AM366" i="1"/>
  <c r="AM336" i="1"/>
  <c r="AM305" i="1"/>
  <c r="AM275" i="1"/>
  <c r="AM213" i="1"/>
  <c r="AM183" i="1"/>
  <c r="AM152" i="1"/>
  <c r="AM122" i="1"/>
  <c r="AM91" i="1"/>
  <c r="AM63" i="1"/>
  <c r="AM32" i="1"/>
  <c r="AK37" i="1"/>
  <c r="AK36" i="1" a="1"/>
  <c r="AK36" i="1" s="1"/>
  <c r="AI30" i="1"/>
  <c r="AM31" i="1" s="1"/>
  <c r="AJ371" i="1"/>
  <c r="AJ341" i="1"/>
  <c r="AJ310" i="1"/>
  <c r="AJ280" i="1"/>
  <c r="AJ249" i="1"/>
  <c r="AJ188" i="1"/>
  <c r="AJ127" i="1"/>
  <c r="AK371" i="1"/>
  <c r="AK370" i="1" a="1"/>
  <c r="AK370" i="1" s="1"/>
  <c r="AI364" i="1"/>
  <c r="AM365" i="1" s="1"/>
  <c r="AK341" i="1"/>
  <c r="AK340" i="1" a="1"/>
  <c r="AK340" i="1" s="1"/>
  <c r="AI334" i="1"/>
  <c r="AM335" i="1" s="1"/>
  <c r="AK310" i="1"/>
  <c r="AK309" i="1" a="1"/>
  <c r="AK309" i="1" s="1"/>
  <c r="AI303" i="1"/>
  <c r="AM304" i="1" s="1"/>
  <c r="AK280" i="1"/>
  <c r="AK279" i="1" a="1"/>
  <c r="AK279" i="1" s="1"/>
  <c r="AI273" i="1"/>
  <c r="AM274" i="1" s="1"/>
  <c r="AK249" i="1"/>
  <c r="AK248" i="1" a="1"/>
  <c r="AK248" i="1" s="1"/>
  <c r="AM244" i="1"/>
  <c r="AI242" i="1"/>
  <c r="AM243" i="1" s="1"/>
  <c r="AK218" i="1"/>
  <c r="AK217" i="1" a="1"/>
  <c r="AK217" i="1" s="1"/>
  <c r="AI211" i="1"/>
  <c r="AK188" i="1"/>
  <c r="AK187" i="1" a="1"/>
  <c r="AK187" i="1" s="1"/>
  <c r="AI181" i="1"/>
  <c r="AM182" i="1" s="1"/>
  <c r="AK157" i="1"/>
  <c r="AK156" i="1" a="1"/>
  <c r="AK156" i="1" s="1"/>
  <c r="AI150" i="1"/>
  <c r="AK127" i="1"/>
  <c r="AK126" i="1" a="1"/>
  <c r="AK126" i="1" s="1"/>
  <c r="AI120" i="1"/>
  <c r="AM121" i="1" s="1"/>
  <c r="AK96" i="1"/>
  <c r="AK95" i="1" a="1"/>
  <c r="AK95" i="1" s="1"/>
  <c r="AI89" i="1"/>
  <c r="AM90" i="1" s="1"/>
  <c r="AK68" i="1"/>
  <c r="AK67" i="1" a="1"/>
  <c r="AK67" i="1" s="1"/>
  <c r="AI61" i="1"/>
  <c r="AM62" i="1" s="1"/>
  <c r="AJ96" i="1" l="1"/>
  <c r="AJ90" i="1"/>
  <c r="AK90" i="1" s="1"/>
  <c r="AJ67" i="1"/>
  <c r="AJ68" i="1"/>
  <c r="AJ36" i="1"/>
  <c r="AJ37" i="1"/>
  <c r="AJ31" i="1"/>
  <c r="AJ368" i="1"/>
  <c r="AJ370" i="1"/>
  <c r="AJ365" i="1"/>
  <c r="AJ338" i="1"/>
  <c r="AJ340" i="1"/>
  <c r="AJ335" i="1"/>
  <c r="AJ307" i="1"/>
  <c r="AJ309" i="1"/>
  <c r="AJ304" i="1"/>
  <c r="AJ279" i="1"/>
  <c r="AJ277" i="1"/>
  <c r="AJ274" i="1"/>
  <c r="AJ246" i="1"/>
  <c r="AJ248" i="1"/>
  <c r="AJ243" i="1"/>
  <c r="AM212" i="1"/>
  <c r="AJ218" i="1" s="1"/>
  <c r="AJ185" i="1"/>
  <c r="AJ187" i="1"/>
  <c r="AJ182" i="1"/>
  <c r="AM151" i="1"/>
  <c r="AJ157" i="1" s="1"/>
  <c r="AJ124" i="1"/>
  <c r="AJ126" i="1"/>
  <c r="AJ121" i="1"/>
  <c r="AJ93" i="1"/>
  <c r="AJ95" i="1"/>
  <c r="AJ91" i="1" a="1"/>
  <c r="AJ91" i="1" s="1"/>
  <c r="AJ92" i="1" s="1"/>
  <c r="AJ62" i="1"/>
  <c r="AJ65" i="1"/>
  <c r="AJ63" i="1" l="1" a="1"/>
  <c r="AJ63" i="1" s="1"/>
  <c r="AJ64" i="1" s="1"/>
  <c r="AK62" i="1"/>
  <c r="AK31" i="1"/>
  <c r="AJ32" i="1" a="1"/>
  <c r="AJ32" i="1" s="1"/>
  <c r="AJ33" i="1" s="1"/>
  <c r="AK365" i="1"/>
  <c r="AJ366" i="1" a="1"/>
  <c r="AJ366" i="1" s="1"/>
  <c r="AJ367" i="1" s="1"/>
  <c r="AJ336" i="1" a="1"/>
  <c r="AJ336" i="1" s="1"/>
  <c r="AJ337" i="1" s="1"/>
  <c r="AK335" i="1"/>
  <c r="AK304" i="1"/>
  <c r="AJ305" i="1" a="1"/>
  <c r="AJ305" i="1" s="1"/>
  <c r="AJ306" i="1" s="1"/>
  <c r="AK274" i="1"/>
  <c r="AJ275" i="1" a="1"/>
  <c r="AJ275" i="1" s="1"/>
  <c r="AJ276" i="1" s="1"/>
  <c r="AK243" i="1"/>
  <c r="AJ244" i="1" a="1"/>
  <c r="AJ244" i="1" s="1"/>
  <c r="AJ245" i="1" s="1"/>
  <c r="AJ215" i="1"/>
  <c r="AJ217" i="1"/>
  <c r="AJ212" i="1"/>
  <c r="AK182" i="1"/>
  <c r="AJ183" i="1" a="1"/>
  <c r="AJ183" i="1" s="1"/>
  <c r="AJ184" i="1" s="1"/>
  <c r="AJ154" i="1"/>
  <c r="AJ156" i="1"/>
  <c r="AJ151" i="1"/>
  <c r="AK121" i="1"/>
  <c r="AJ122" i="1" a="1"/>
  <c r="AJ122" i="1" s="1"/>
  <c r="AJ123" i="1" s="1"/>
  <c r="AK91" i="1"/>
  <c r="AJ94" i="1"/>
  <c r="AJ66" i="1" l="1"/>
  <c r="AK63" i="1"/>
  <c r="AK32" i="1"/>
  <c r="AJ35" i="1"/>
  <c r="AK366" i="1"/>
  <c r="AJ369" i="1"/>
  <c r="AK336" i="1"/>
  <c r="AJ339" i="1"/>
  <c r="AK305" i="1"/>
  <c r="AJ308" i="1"/>
  <c r="AK275" i="1"/>
  <c r="AJ278" i="1"/>
  <c r="AK244" i="1"/>
  <c r="AJ247" i="1"/>
  <c r="AK212" i="1"/>
  <c r="AJ213" i="1" a="1"/>
  <c r="AJ213" i="1" s="1"/>
  <c r="AJ214" i="1" s="1"/>
  <c r="AK183" i="1"/>
  <c r="AJ186" i="1"/>
  <c r="AK151" i="1"/>
  <c r="AJ152" i="1" a="1"/>
  <c r="AJ152" i="1" s="1"/>
  <c r="AJ153" i="1" s="1"/>
  <c r="AK122" i="1"/>
  <c r="AJ125" i="1"/>
  <c r="AK213" i="1" l="1"/>
  <c r="AJ216" i="1"/>
  <c r="AK152" i="1"/>
  <c r="AJ15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<sst xmlns="http://schemas.openxmlformats.org/spreadsheetml/2006/main" count="246" uniqueCount="62">
  <si>
    <t>勤怠管理表</t>
    <rPh sb="0" eb="5">
      <t>キンタイカンリヒョウ</t>
    </rPh>
    <phoneticPr fontId="2"/>
  </si>
  <si>
    <t>日</t>
  </si>
  <si>
    <t>日</t>
    <rPh sb="0" eb="1">
      <t>ヒ</t>
    </rPh>
    <phoneticPr fontId="2"/>
  </si>
  <si>
    <t>始業時間</t>
    <rPh sb="0" eb="4">
      <t>シギョウジカン</t>
    </rPh>
    <phoneticPr fontId="2"/>
  </si>
  <si>
    <t>勤務時間</t>
    <rPh sb="0" eb="4">
      <t>キンムジカン</t>
    </rPh>
    <phoneticPr fontId="2"/>
  </si>
  <si>
    <t>勤務形態</t>
    <rPh sb="0" eb="4">
      <t>キンムケイタイ</t>
    </rPh>
    <phoneticPr fontId="2"/>
  </si>
  <si>
    <t>業務内容</t>
    <rPh sb="0" eb="4">
      <t>ギョウムナイヨウ</t>
    </rPh>
    <phoneticPr fontId="2"/>
  </si>
  <si>
    <t>設定休日</t>
    <rPh sb="0" eb="2">
      <t>セッテイ</t>
    </rPh>
    <rPh sb="2" eb="4">
      <t>キュウジツ</t>
    </rPh>
    <phoneticPr fontId="2"/>
  </si>
  <si>
    <t>有給日</t>
    <rPh sb="0" eb="3">
      <t>ユウキュウヒ</t>
    </rPh>
    <phoneticPr fontId="2"/>
  </si>
  <si>
    <t>有給時</t>
    <rPh sb="0" eb="2">
      <t>ユウキュウ</t>
    </rPh>
    <rPh sb="2" eb="3">
      <t>ジ</t>
    </rPh>
    <phoneticPr fontId="2"/>
  </si>
  <si>
    <t>備考（代休、振替出勤、その他）</t>
    <rPh sb="0" eb="2">
      <t>ビコウ</t>
    </rPh>
    <rPh sb="3" eb="5">
      <t>ダイキュウ</t>
    </rPh>
    <rPh sb="6" eb="10">
      <t>フリカエシュッキン</t>
    </rPh>
    <rPh sb="13" eb="14">
      <t>タ</t>
    </rPh>
    <phoneticPr fontId="2"/>
  </si>
  <si>
    <t>社員NO.</t>
    <rPh sb="0" eb="2">
      <t>シャイン</t>
    </rPh>
    <phoneticPr fontId="2"/>
  </si>
  <si>
    <t>氏名</t>
    <rPh sb="0" eb="2">
      <t>シメイ</t>
    </rPh>
    <phoneticPr fontId="2"/>
  </si>
  <si>
    <t>水</t>
    <phoneticPr fontId="6"/>
  </si>
  <si>
    <t>元日</t>
  </si>
  <si>
    <t>月</t>
  </si>
  <si>
    <t>成人の日</t>
  </si>
  <si>
    <t>火</t>
    <rPh sb="0" eb="1">
      <t>カ</t>
    </rPh>
    <phoneticPr fontId="6"/>
  </si>
  <si>
    <t>建国記念の日</t>
  </si>
  <si>
    <t>天皇誕生日</t>
    <rPh sb="0" eb="5">
      <t>テンノウタンジョウビ</t>
    </rPh>
    <phoneticPr fontId="6"/>
  </si>
  <si>
    <t>木</t>
    <rPh sb="0" eb="1">
      <t>モク</t>
    </rPh>
    <phoneticPr fontId="6"/>
  </si>
  <si>
    <t>春分の日</t>
  </si>
  <si>
    <t>昭和の日</t>
  </si>
  <si>
    <t>土</t>
    <phoneticPr fontId="6"/>
  </si>
  <si>
    <t>憲法記念日</t>
  </si>
  <si>
    <t>みどりの日</t>
  </si>
  <si>
    <t>こどもの日</t>
  </si>
  <si>
    <t>海の日</t>
  </si>
  <si>
    <t>月</t>
    <phoneticPr fontId="6"/>
  </si>
  <si>
    <t>山の日</t>
  </si>
  <si>
    <t>敬老の日</t>
  </si>
  <si>
    <t>秋分の日</t>
  </si>
  <si>
    <t>スポーツの日</t>
  </si>
  <si>
    <t>文化の日</t>
  </si>
  <si>
    <t>日</t>
    <phoneticPr fontId="6"/>
  </si>
  <si>
    <t>勤労感謝の日</t>
  </si>
  <si>
    <t>RW</t>
    <phoneticPr fontId="2"/>
  </si>
  <si>
    <t>会社</t>
    <rPh sb="0" eb="2">
      <t>カイシャ</t>
    </rPh>
    <phoneticPr fontId="2"/>
  </si>
  <si>
    <t>社外</t>
    <rPh sb="0" eb="2">
      <t>シャガイ</t>
    </rPh>
    <phoneticPr fontId="2"/>
  </si>
  <si>
    <t>国内出張</t>
    <rPh sb="0" eb="4">
      <t>コクナイシュッチョウ</t>
    </rPh>
    <phoneticPr fontId="2"/>
  </si>
  <si>
    <t>海外出張</t>
    <rPh sb="0" eb="4">
      <t>カイガイシュッチョウ</t>
    </rPh>
    <phoneticPr fontId="2"/>
  </si>
  <si>
    <t>稼働日数</t>
    <rPh sb="0" eb="4">
      <t>カドウニッスウ</t>
    </rPh>
    <phoneticPr fontId="2"/>
  </si>
  <si>
    <t>勤務日数</t>
    <rPh sb="0" eb="4">
      <t>キンムニッスウ</t>
    </rPh>
    <phoneticPr fontId="2"/>
  </si>
  <si>
    <t>稼働時間数</t>
    <rPh sb="0" eb="2">
      <t>カドウ</t>
    </rPh>
    <rPh sb="2" eb="5">
      <t>ジカンスウ</t>
    </rPh>
    <phoneticPr fontId="2"/>
  </si>
  <si>
    <t>勤務時間数</t>
    <rPh sb="0" eb="5">
      <t>キンムジカンスウ</t>
    </rPh>
    <phoneticPr fontId="2"/>
  </si>
  <si>
    <t>有給休暇</t>
    <rPh sb="0" eb="4">
      <t>ユウキュウキュウカ</t>
    </rPh>
    <phoneticPr fontId="2"/>
  </si>
  <si>
    <t>時間有給</t>
    <rPh sb="0" eb="4">
      <t>ジカンユウキュウ</t>
    </rPh>
    <phoneticPr fontId="2"/>
  </si>
  <si>
    <t>単月</t>
    <rPh sb="0" eb="2">
      <t>タンゲツ</t>
    </rPh>
    <phoneticPr fontId="2"/>
  </si>
  <si>
    <t>累計</t>
    <rPh sb="0" eb="2">
      <t>ルイケイ</t>
    </rPh>
    <phoneticPr fontId="2"/>
  </si>
  <si>
    <t>超過時間</t>
    <rPh sb="0" eb="4">
      <t>チョウカジカン</t>
    </rPh>
    <phoneticPr fontId="2"/>
  </si>
  <si>
    <t>仮計算</t>
    <rPh sb="0" eb="3">
      <t>カリケイサン</t>
    </rPh>
    <phoneticPr fontId="2"/>
  </si>
  <si>
    <t>当月20日行数</t>
    <rPh sb="0" eb="2">
      <t>トウゲツ</t>
    </rPh>
    <rPh sb="4" eb="5">
      <t>ニチ</t>
    </rPh>
    <rPh sb="5" eb="7">
      <t>ギョウスウ</t>
    </rPh>
    <phoneticPr fontId="2"/>
  </si>
  <si>
    <t>当月始まり21日行数位置は適当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phoneticPr fontId="2"/>
  </si>
  <si>
    <t>貼り付け13日の横に月度が来るように</t>
    <rPh sb="0" eb="1">
      <t>ハ</t>
    </rPh>
    <rPh sb="2" eb="3">
      <t>ツ</t>
    </rPh>
    <rPh sb="6" eb="7">
      <t>ニチ</t>
    </rPh>
    <rPh sb="8" eb="9">
      <t>ヨコ</t>
    </rPh>
    <rPh sb="10" eb="11">
      <t>ツキ</t>
    </rPh>
    <rPh sb="11" eb="12">
      <t>ド</t>
    </rPh>
    <rPh sb="13" eb="14">
      <t>ク</t>
    </rPh>
    <phoneticPr fontId="2"/>
  </si>
  <si>
    <t>INDIRECT("A"&amp;AM62&amp;":A"&amp;AM63)</t>
    <phoneticPr fontId="2"/>
  </si>
  <si>
    <t>当月の範囲指定式　文字列との組み合わせ</t>
    <rPh sb="0" eb="2">
      <t>トウゲツ</t>
    </rPh>
    <rPh sb="3" eb="7">
      <t>ハンイシテイ</t>
    </rPh>
    <rPh sb="7" eb="8">
      <t>シキ</t>
    </rPh>
    <rPh sb="9" eb="12">
      <t>モジレツ</t>
    </rPh>
    <rPh sb="14" eb="15">
      <t>ク</t>
    </rPh>
    <rPh sb="16" eb="17">
      <t>ア</t>
    </rPh>
    <phoneticPr fontId="2"/>
  </si>
  <si>
    <t>当月始まり21日行数位置は適当、12月の場合重複するので、昨年になるよう場合分け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rPh sb="18" eb="19">
      <t>ガツ</t>
    </rPh>
    <rPh sb="20" eb="22">
      <t>バアイ</t>
    </rPh>
    <rPh sb="22" eb="24">
      <t>チョウフク</t>
    </rPh>
    <rPh sb="29" eb="31">
      <t>サクネン</t>
    </rPh>
    <rPh sb="36" eb="39">
      <t>バアイワ</t>
    </rPh>
    <phoneticPr fontId="2"/>
  </si>
  <si>
    <t>B列3から50まで日付認識</t>
    <rPh sb="1" eb="2">
      <t>レツ</t>
    </rPh>
    <rPh sb="9" eb="11">
      <t>ヒヅケ</t>
    </rPh>
    <rPh sb="11" eb="13">
      <t>ニンシキ</t>
    </rPh>
    <phoneticPr fontId="2"/>
  </si>
  <si>
    <t>終業時間</t>
    <rPh sb="2" eb="3">
      <t>ガツ</t>
    </rPh>
    <phoneticPr fontId="2"/>
  </si>
  <si>
    <t>勤務日数は　範囲内と別シート休日をマッチの後、当月にっすから減算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30" eb="32">
      <t>ゲンサン</t>
    </rPh>
    <phoneticPr fontId="2"/>
  </si>
  <si>
    <t>レオナルド熊</t>
    <rPh sb="5" eb="6">
      <t>クマ</t>
    </rPh>
    <phoneticPr fontId="2"/>
  </si>
  <si>
    <t>su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</si>
</sst>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\(aaa\)"/>
    <numFmt numFmtId="177" formatCode="[h]:mm"/>
    <numFmt numFmtId="178" formatCode="0&quot;年度&quot;"/>
    <numFmt numFmtId="179" formatCode="0&quot;月度&quot;"/>
  </numFmts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666666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10"/>
      <color rgb="FF666666"/>
      <name val="Arial"/>
      <family val="2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9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E5E5E5"/>
      </top>
      <bottom style="medium">
        <color rgb="FFE5E5E5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4" fillId="0" borderId="0" xfId="0" applyFont="1">
      <alignment vertical="center"/>
    </xf>
    <xf numFmtId="14" fontId="5" fillId="0" borderId="5" xfId="0" applyNumberFormat="1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/>
    </xf>
    <xf numFmtId="14" fontId="5" fillId="0" borderId="0" xfId="0" applyNumberFormat="1" applyFont="1" applyAlignment="1">
      <alignment vertical="top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6" xfId="0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>
      <alignment vertical="center"/>
    </xf>
    <xf numFmtId="179" fontId="9" fillId="4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8" fillId="4" borderId="0" xfId="0" applyFont="1" applyFill="1">
      <alignment vertical="center"/>
    </xf>
    <xf numFmtId="14" fontId="0" fillId="4" borderId="0" xfId="0" applyNumberFormat="1" applyFill="1">
      <alignment vertical="center"/>
    </xf>
    <xf numFmtId="178" fontId="0" fillId="4" borderId="0" xfId="0" applyNumberFormat="1" applyFill="1">
      <alignment vertical="center"/>
    </xf>
    <xf numFmtId="20" fontId="0" fillId="4" borderId="0" xfId="0" applyNumberFormat="1" applyFill="1">
      <alignment vertical="center"/>
    </xf>
    <xf numFmtId="0" fontId="0" fillId="5" borderId="7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20" fontId="0" fillId="4" borderId="7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6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20" fontId="0" fillId="4" borderId="8" xfId="0" applyNumberFormat="1" applyFill="1" applyBorder="1" applyAlignment="1">
      <alignment horizontal="center" vertical="center"/>
    </xf>
    <xf numFmtId="176" fontId="0" fillId="4" borderId="9" xfId="0" applyNumberFormat="1" applyFill="1" applyBorder="1" applyAlignment="1">
      <alignment horizontal="center" vertical="center"/>
    </xf>
    <xf numFmtId="20" fontId="0" fillId="4" borderId="9" xfId="0" applyNumberFormat="1" applyFill="1" applyBorder="1" applyAlignment="1">
      <alignment horizontal="center" vertical="center"/>
    </xf>
    <xf numFmtId="20" fontId="0" fillId="4" borderId="13" xfId="0" applyNumberFormat="1" applyFill="1" applyBorder="1" applyAlignment="1">
      <alignment horizontal="center" vertical="center"/>
    </xf>
    <xf numFmtId="20" fontId="0" fillId="4" borderId="14" xfId="0" applyNumberFormat="1" applyFill="1" applyBorder="1" applyAlignment="1">
      <alignment horizontal="center" vertical="center"/>
    </xf>
    <xf numFmtId="20" fontId="0" fillId="4" borderId="15" xfId="0" applyNumberFormat="1" applyFill="1" applyBorder="1" applyAlignment="1">
      <alignment horizontal="center" vertical="center"/>
    </xf>
    <xf numFmtId="20" fontId="0" fillId="4" borderId="10" xfId="0" applyNumberFormat="1" applyFill="1" applyBorder="1" applyAlignment="1">
      <alignment horizontal="center" vertical="center"/>
    </xf>
    <xf numFmtId="20" fontId="0" fillId="4" borderId="11" xfId="0" applyNumberFormat="1" applyFill="1" applyBorder="1" applyAlignment="1">
      <alignment horizontal="center" vertical="center"/>
    </xf>
    <xf numFmtId="20" fontId="0" fillId="4" borderId="12" xfId="0" applyNumberForma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178" fontId="0" fillId="3" borderId="1" xfId="0" applyNumberFormat="1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CF59C"/>
      <color rgb="FFFFFFCC"/>
      <color rgb="FFCC0066"/>
      <color rgb="FFFFCCCC"/>
      <color rgb="FFFF00FF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13DA-DC8D-425A-961A-7651BED6410F}">
  <sheetPr codeName="sh_day"/>
  <dimension ref="A1:AN383"/>
  <sheetViews>
    <sheetView tabSelected="1" zoomScale="85" zoomScaleNormal="85" workbookViewId="0">
      <pane ySplit="6" topLeftCell="A7" activePane="bottomLeft" state="frozen"/>
      <selection pane="bottomLeft" activeCell="Z7" sqref="Z7"/>
    </sheetView>
  </sheetViews>
  <sheetFormatPr defaultColWidth="3.5" defaultRowHeight="18.75" x14ac:dyDescent="0.4"/>
  <cols>
    <col min="1" max="1" width="6.25" style="9" customWidth="1"/>
    <col min="2" max="2" width="6.625" style="9" customWidth="1"/>
    <col min="3" max="3" width="5.25" style="9" bestFit="1" customWidth="1"/>
    <col min="4" max="5" width="3.5" style="9"/>
    <col min="6" max="6" width="6.25" style="9" bestFit="1" customWidth="1"/>
    <col min="7" max="10" width="3.5" style="9"/>
    <col min="11" max="11" width="3.5" style="9" customWidth="1"/>
    <col min="12" max="14" width="3.5" style="9"/>
    <col min="15" max="24" width="3.75" style="9" customWidth="1"/>
    <col min="25" max="27" width="5.25" style="9" customWidth="1"/>
    <col min="28" max="34" width="4.25" style="9" customWidth="1"/>
    <col min="35" max="35" width="11.25" style="9" customWidth="1"/>
    <col min="36" max="36" width="16.125" style="9" customWidth="1"/>
    <col min="37" max="37" width="12.75" style="9" customWidth="1"/>
    <col min="38" max="38" width="9.125" style="9" bestFit="1" customWidth="1"/>
    <col min="39" max="39" width="14.375" style="9" customWidth="1"/>
    <col min="40" max="40" width="14.625" style="9" customWidth="1"/>
    <col min="41" max="16384" width="3.5" style="9"/>
  </cols>
  <sheetData>
    <row r="1" spans="1:39" x14ac:dyDescent="0.4">
      <c r="A1" s="43" t="s">
        <v>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</row>
    <row r="2" spans="1:39" ht="19.5" thickBot="1" x14ac:dyDescent="0.4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M2" s="15" t="s">
        <v>36</v>
      </c>
    </row>
    <row r="3" spans="1:39" ht="19.5" thickTop="1" x14ac:dyDescent="0.4">
      <c r="AM3" s="16" t="s">
        <v>37</v>
      </c>
    </row>
    <row r="4" spans="1:39" x14ac:dyDescent="0.4">
      <c r="A4" s="45">
        <v>2026</v>
      </c>
      <c r="B4" s="46"/>
      <c r="C4" s="46"/>
      <c r="D4" s="46"/>
      <c r="E4" s="47"/>
      <c r="O4" s="48" t="s">
        <v>11</v>
      </c>
      <c r="P4" s="49"/>
      <c r="Q4" s="50"/>
      <c r="R4" s="51">
        <v>4</v>
      </c>
      <c r="S4" s="52"/>
      <c r="T4" s="52"/>
      <c r="U4" s="52"/>
      <c r="V4" s="52"/>
      <c r="W4" s="52"/>
      <c r="X4" s="53"/>
      <c r="Y4" s="48" t="s">
        <v>12</v>
      </c>
      <c r="Z4" s="50"/>
      <c r="AA4" s="51" t="s">
        <v>60</v>
      </c>
      <c r="AB4" s="52"/>
      <c r="AC4" s="52"/>
      <c r="AD4" s="52"/>
      <c r="AE4" s="52"/>
      <c r="AF4" s="52"/>
      <c r="AG4" s="52"/>
      <c r="AH4" s="53"/>
      <c r="AM4" s="16" t="s">
        <v>38</v>
      </c>
    </row>
    <row r="5" spans="1:39" x14ac:dyDescent="0.4">
      <c r="AM5" s="16" t="s">
        <v>39</v>
      </c>
    </row>
    <row r="6" spans="1:39" x14ac:dyDescent="0.4">
      <c r="A6" s="42" t="s">
        <v>2</v>
      </c>
      <c r="B6" s="42"/>
      <c r="C6" s="42" t="s">
        <v>3</v>
      </c>
      <c r="D6" s="42"/>
      <c r="E6" s="42"/>
      <c r="F6" s="42" t="s">
        <v>58</v>
      </c>
      <c r="G6" s="42"/>
      <c r="H6" s="42"/>
      <c r="I6" s="42" t="s">
        <v>4</v>
      </c>
      <c r="J6" s="42"/>
      <c r="K6" s="42"/>
      <c r="L6" s="42" t="s">
        <v>5</v>
      </c>
      <c r="M6" s="42"/>
      <c r="N6" s="42"/>
      <c r="O6" s="42" t="s">
        <v>6</v>
      </c>
      <c r="P6" s="42"/>
      <c r="Q6" s="42"/>
      <c r="R6" s="42"/>
      <c r="S6" s="42"/>
      <c r="T6" s="42"/>
      <c r="U6" s="42"/>
      <c r="V6" s="42"/>
      <c r="W6" s="42"/>
      <c r="X6" s="42"/>
      <c r="Y6" s="20" t="s">
        <v>7</v>
      </c>
      <c r="Z6" s="20" t="s">
        <v>8</v>
      </c>
      <c r="AA6" s="20" t="s">
        <v>9</v>
      </c>
      <c r="AB6" s="42" t="s">
        <v>10</v>
      </c>
      <c r="AC6" s="42"/>
      <c r="AD6" s="42"/>
      <c r="AE6" s="42"/>
      <c r="AF6" s="42"/>
      <c r="AG6" s="42"/>
      <c r="AH6" s="42"/>
      <c r="AM6" s="16" t="s">
        <v>40</v>
      </c>
    </row>
    <row r="7" spans="1:39" x14ac:dyDescent="0.4">
      <c r="A7" s="28">
        <v>46012</v>
      </c>
      <c r="B7" s="28"/>
      <c r="C7" s="36">
        <v>0.375</v>
      </c>
      <c r="D7" s="37"/>
      <c r="E7" s="38"/>
      <c r="F7" s="29">
        <v>0.72916666666666663</v>
      </c>
      <c r="G7" s="29"/>
      <c r="H7" s="29"/>
      <c r="I7" s="29">
        <f>IF(F7="","",F7-C7-TIME(1,0,0))</f>
        <v>0.31249999999999994</v>
      </c>
      <c r="J7" s="29"/>
      <c r="K7" s="29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4" t="str">
        <f>IF(ISNUMBER(MATCH(A7, 設定休日!$B$3:$B$50, 0)),1, "")</f>
        <v/>
      </c>
      <c r="Z7" s="24"/>
      <c r="AA7" s="21"/>
      <c r="AB7" s="27"/>
      <c r="AC7" s="27"/>
      <c r="AD7" s="27"/>
      <c r="AE7" s="27"/>
      <c r="AF7" s="27"/>
      <c r="AG7" s="27"/>
      <c r="AH7" s="27"/>
    </row>
    <row r="8" spans="1:39" x14ac:dyDescent="0.4">
      <c r="A8" s="28">
        <v>46013</v>
      </c>
      <c r="B8" s="28"/>
      <c r="C8" s="36">
        <v>8.8472222222222216E-2</v>
      </c>
      <c r="D8" s="37"/>
      <c r="E8" s="38"/>
      <c r="F8" s="29">
        <v>0.72916666666666663</v>
      </c>
      <c r="G8" s="29"/>
      <c r="H8" s="29"/>
      <c r="I8" s="29">
        <f t="shared" ref="I8:I71" si="0">IF(F8="","",F8-C8-TIME(1,0,0))</f>
        <v>0.59902777777777783</v>
      </c>
      <c r="J8" s="29"/>
      <c r="K8" s="29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4" t="str">
        <f>IF(ISNUMBER(MATCH(A8, 設定休日!$B$3:$B$50, 0)), 1, "")</f>
        <v/>
      </c>
      <c r="Z8" s="24"/>
      <c r="AA8" s="21"/>
      <c r="AB8" s="27"/>
      <c r="AC8" s="27"/>
      <c r="AD8" s="27"/>
      <c r="AE8" s="27"/>
      <c r="AF8" s="27"/>
      <c r="AG8" s="27"/>
      <c r="AH8" s="27"/>
    </row>
    <row r="9" spans="1:39" x14ac:dyDescent="0.4">
      <c r="A9" s="28">
        <v>46014</v>
      </c>
      <c r="B9" s="28"/>
      <c r="C9" s="36">
        <v>0.375</v>
      </c>
      <c r="D9" s="37"/>
      <c r="E9" s="38"/>
      <c r="F9" s="29">
        <v>0.72916666666666663</v>
      </c>
      <c r="G9" s="29"/>
      <c r="H9" s="29"/>
      <c r="I9" s="29">
        <f t="shared" si="0"/>
        <v>0.31249999999999994</v>
      </c>
      <c r="J9" s="29"/>
      <c r="K9" s="29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4" t="str">
        <f>IF(ISNUMBER(MATCH(A9, 設定休日!$B$3:$B$50, 0)), 1, "")</f>
        <v/>
      </c>
      <c r="Z9" s="24"/>
      <c r="AA9" s="21"/>
      <c r="AB9" s="27"/>
      <c r="AC9" s="27"/>
      <c r="AD9" s="27"/>
      <c r="AE9" s="27"/>
      <c r="AF9" s="27"/>
      <c r="AG9" s="27"/>
      <c r="AH9" s="27"/>
    </row>
    <row r="10" spans="1:39" x14ac:dyDescent="0.4">
      <c r="A10" s="28">
        <v>46015</v>
      </c>
      <c r="B10" s="28"/>
      <c r="C10" s="36">
        <v>0.375</v>
      </c>
      <c r="D10" s="37"/>
      <c r="E10" s="38"/>
      <c r="F10" s="29">
        <v>0.72916666666666663</v>
      </c>
      <c r="G10" s="29"/>
      <c r="H10" s="29"/>
      <c r="I10" s="29">
        <f t="shared" si="0"/>
        <v>0.31249999999999994</v>
      </c>
      <c r="J10" s="29"/>
      <c r="K10" s="29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4" t="str">
        <f>IF(ISNUMBER(MATCH(A10, 設定休日!$B$3:$B$50, 0)), 1, "")</f>
        <v/>
      </c>
      <c r="Z10" s="24"/>
      <c r="AA10" s="21"/>
      <c r="AB10" s="27"/>
      <c r="AC10" s="27"/>
      <c r="AD10" s="27"/>
      <c r="AE10" s="27"/>
      <c r="AF10" s="27"/>
      <c r="AG10" s="27"/>
      <c r="AH10" s="27"/>
    </row>
    <row r="11" spans="1:39" x14ac:dyDescent="0.4">
      <c r="A11" s="28">
        <v>46016</v>
      </c>
      <c r="B11" s="28"/>
      <c r="C11" s="36">
        <v>0.375</v>
      </c>
      <c r="D11" s="37"/>
      <c r="E11" s="38"/>
      <c r="F11" s="29">
        <v>0.72916666666666663</v>
      </c>
      <c r="G11" s="29"/>
      <c r="H11" s="29"/>
      <c r="I11" s="29">
        <f t="shared" si="0"/>
        <v>0.31249999999999994</v>
      </c>
      <c r="J11" s="29"/>
      <c r="K11" s="29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4" t="str">
        <f>IF(ISNUMBER(MATCH(A11, 設定休日!$B$3:$B$50, 0)), 1, "")</f>
        <v/>
      </c>
      <c r="Z11" s="24"/>
      <c r="AA11" s="21"/>
      <c r="AB11" s="27"/>
      <c r="AC11" s="27"/>
      <c r="AD11" s="27"/>
      <c r="AE11" s="27"/>
      <c r="AF11" s="27"/>
      <c r="AG11" s="27"/>
      <c r="AH11" s="27"/>
    </row>
    <row r="12" spans="1:39" x14ac:dyDescent="0.4">
      <c r="A12" s="28">
        <v>46017</v>
      </c>
      <c r="B12" s="28"/>
      <c r="C12" s="36">
        <v>3.90625E-2</v>
      </c>
      <c r="D12" s="37"/>
      <c r="E12" s="38"/>
      <c r="F12" s="29">
        <v>8.8587962962962966E-2</v>
      </c>
      <c r="G12" s="29"/>
      <c r="H12" s="29"/>
      <c r="I12" s="29">
        <f t="shared" si="0"/>
        <v>7.8587962962963012E-3</v>
      </c>
      <c r="J12" s="29"/>
      <c r="K12" s="29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4" t="str">
        <f>IF(ISNUMBER(MATCH(A12, 設定休日!$B$3:$B$50, 0)), 1, "")</f>
        <v/>
      </c>
      <c r="Z12" s="24"/>
      <c r="AA12" s="21"/>
      <c r="AB12" s="27"/>
      <c r="AC12" s="27"/>
      <c r="AD12" s="27"/>
      <c r="AE12" s="27"/>
      <c r="AF12" s="27"/>
      <c r="AG12" s="27"/>
      <c r="AH12" s="27"/>
      <c r="AK12" s="17"/>
    </row>
    <row r="13" spans="1:39" x14ac:dyDescent="0.4">
      <c r="A13" s="28">
        <v>46018</v>
      </c>
      <c r="B13" s="28"/>
      <c r="C13" s="36">
        <v>0.375</v>
      </c>
      <c r="D13" s="37"/>
      <c r="E13" s="38"/>
      <c r="F13" s="29">
        <v>0.72916666666666663</v>
      </c>
      <c r="G13" s="29"/>
      <c r="H13" s="29"/>
      <c r="I13" s="29">
        <f t="shared" si="0"/>
        <v>0.31249999999999994</v>
      </c>
      <c r="J13" s="29"/>
      <c r="K13" s="29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4" t="str">
        <f>IF(ISNUMBER(MATCH(A13, 設定休日!$B$3:$B$50, 0)), 1, "")</f>
        <v/>
      </c>
      <c r="Z13" s="24"/>
      <c r="AA13" s="21"/>
      <c r="AB13" s="27"/>
      <c r="AC13" s="27"/>
      <c r="AD13" s="27"/>
      <c r="AE13" s="27"/>
      <c r="AF13" s="27"/>
      <c r="AG13" s="27"/>
      <c r="AH13" s="27"/>
    </row>
    <row r="14" spans="1:39" x14ac:dyDescent="0.4">
      <c r="A14" s="28">
        <v>46019</v>
      </c>
      <c r="B14" s="28"/>
      <c r="C14" s="36">
        <v>3.7534722222222219E-2</v>
      </c>
      <c r="D14" s="37"/>
      <c r="E14" s="38"/>
      <c r="F14" s="29">
        <v>0.72916666666666663</v>
      </c>
      <c r="G14" s="29"/>
      <c r="H14" s="29"/>
      <c r="I14" s="29">
        <f t="shared" si="0"/>
        <v>0.64996527777777779</v>
      </c>
      <c r="J14" s="29"/>
      <c r="K14" s="29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4" t="str">
        <f>IF(ISNUMBER(MATCH(A14, 設定休日!$B$3:$B$50, 0)), 1, "")</f>
        <v/>
      </c>
      <c r="Z14" s="24"/>
      <c r="AA14" s="21"/>
      <c r="AB14" s="27"/>
      <c r="AC14" s="27"/>
      <c r="AD14" s="27"/>
      <c r="AE14" s="27"/>
      <c r="AF14" s="27"/>
      <c r="AG14" s="27"/>
      <c r="AH14" s="27"/>
    </row>
    <row r="15" spans="1:39" x14ac:dyDescent="0.4">
      <c r="A15" s="28">
        <v>46020</v>
      </c>
      <c r="B15" s="28"/>
      <c r="C15" s="36">
        <v>0.375</v>
      </c>
      <c r="D15" s="37"/>
      <c r="E15" s="38"/>
      <c r="F15" s="29">
        <v>0.72916666666666663</v>
      </c>
      <c r="G15" s="29"/>
      <c r="H15" s="29"/>
      <c r="I15" s="29">
        <f t="shared" si="0"/>
        <v>0.31249999999999994</v>
      </c>
      <c r="J15" s="29"/>
      <c r="K15" s="29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4">
        <f>IF(ISNUMBER(MATCH(A15, 設定休日!$B$3:$B$50, 0)), 1, "")</f>
        <v>1</v>
      </c>
      <c r="Z15" s="24"/>
      <c r="AA15" s="21"/>
      <c r="AB15" s="27"/>
      <c r="AC15" s="27"/>
      <c r="AD15" s="27"/>
      <c r="AE15" s="27"/>
      <c r="AF15" s="27"/>
      <c r="AG15" s="27"/>
      <c r="AH15" s="27"/>
    </row>
    <row r="16" spans="1:39" x14ac:dyDescent="0.4">
      <c r="A16" s="28">
        <v>46021</v>
      </c>
      <c r="B16" s="28"/>
      <c r="C16" s="36">
        <v>0.375</v>
      </c>
      <c r="D16" s="37"/>
      <c r="E16" s="38"/>
      <c r="F16" s="29">
        <v>0.72916666666666663</v>
      </c>
      <c r="G16" s="29"/>
      <c r="H16" s="29"/>
      <c r="I16" s="29">
        <f t="shared" si="0"/>
        <v>0.31249999999999994</v>
      </c>
      <c r="J16" s="29"/>
      <c r="K16" s="29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4">
        <f>IF(ISNUMBER(MATCH(A16, 設定休日!$B$3:$B$50, 0)), 1, "")</f>
        <v>1</v>
      </c>
      <c r="Z16" s="24"/>
      <c r="AA16" s="21"/>
      <c r="AB16" s="27"/>
      <c r="AC16" s="27"/>
      <c r="AD16" s="27"/>
      <c r="AE16" s="27"/>
      <c r="AF16" s="27"/>
      <c r="AG16" s="27"/>
      <c r="AH16" s="27"/>
      <c r="AK16" s="18"/>
    </row>
    <row r="17" spans="1:40" x14ac:dyDescent="0.4">
      <c r="A17" s="28">
        <v>46022</v>
      </c>
      <c r="B17" s="28"/>
      <c r="C17" s="36">
        <v>0.375</v>
      </c>
      <c r="D17" s="37"/>
      <c r="E17" s="38"/>
      <c r="F17" s="29">
        <v>0.72916666666666663</v>
      </c>
      <c r="G17" s="29"/>
      <c r="H17" s="29"/>
      <c r="I17" s="29">
        <f t="shared" si="0"/>
        <v>0.31249999999999994</v>
      </c>
      <c r="J17" s="29"/>
      <c r="K17" s="29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4">
        <f>IF(ISNUMBER(MATCH(A17, 設定休日!$B$3:$B$50, 0)), 1, "")</f>
        <v>1</v>
      </c>
      <c r="Z17" s="24"/>
      <c r="AA17" s="21"/>
      <c r="AB17" s="27"/>
      <c r="AC17" s="27"/>
      <c r="AD17" s="27"/>
      <c r="AE17" s="27"/>
      <c r="AF17" s="27"/>
      <c r="AG17" s="27"/>
      <c r="AH17" s="27"/>
      <c r="AK17" s="18"/>
    </row>
    <row r="18" spans="1:40" x14ac:dyDescent="0.4">
      <c r="A18" s="28">
        <v>46023</v>
      </c>
      <c r="B18" s="28"/>
      <c r="C18" s="36">
        <v>3.7546296296296293E-2</v>
      </c>
      <c r="D18" s="37"/>
      <c r="E18" s="38"/>
      <c r="F18" s="29">
        <v>0.79166666666666663</v>
      </c>
      <c r="G18" s="29"/>
      <c r="H18" s="29"/>
      <c r="I18" s="29">
        <f t="shared" si="0"/>
        <v>0.71245370370370376</v>
      </c>
      <c r="J18" s="29"/>
      <c r="K18" s="29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4" t="str">
        <f>IF(ISNUMBER(MATCH(A18, 設定休日!$B$3:$B$50, 0)), 1, "")</f>
        <v/>
      </c>
      <c r="Z18" s="24"/>
      <c r="AA18" s="21"/>
      <c r="AB18" s="27"/>
      <c r="AC18" s="27"/>
      <c r="AD18" s="27"/>
      <c r="AE18" s="27"/>
      <c r="AF18" s="27"/>
      <c r="AG18" s="27"/>
      <c r="AH18" s="27"/>
    </row>
    <row r="19" spans="1:40" x14ac:dyDescent="0.4">
      <c r="A19" s="28">
        <v>46024</v>
      </c>
      <c r="B19" s="28"/>
      <c r="C19" s="36">
        <v>0.375</v>
      </c>
      <c r="D19" s="37"/>
      <c r="E19" s="38"/>
      <c r="F19" s="29">
        <v>0.79166666666666663</v>
      </c>
      <c r="G19" s="29"/>
      <c r="H19" s="29"/>
      <c r="I19" s="29">
        <f t="shared" si="0"/>
        <v>0.37499999999999994</v>
      </c>
      <c r="J19" s="29"/>
      <c r="K19" s="29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4">
        <f>IF(ISNUMBER(MATCH(A19, 設定休日!$B$3:$B$50, 0)), 1, "")</f>
        <v>1</v>
      </c>
      <c r="Z19" s="24"/>
      <c r="AA19" s="21"/>
      <c r="AB19" s="27"/>
      <c r="AC19" s="27"/>
      <c r="AD19" s="27"/>
      <c r="AE19" s="27"/>
      <c r="AF19" s="27"/>
      <c r="AG19" s="27"/>
      <c r="AH19" s="27"/>
    </row>
    <row r="20" spans="1:40" x14ac:dyDescent="0.4">
      <c r="A20" s="28">
        <v>46025</v>
      </c>
      <c r="B20" s="28"/>
      <c r="C20" s="36">
        <v>0.375</v>
      </c>
      <c r="D20" s="37"/>
      <c r="E20" s="38"/>
      <c r="F20" s="29">
        <v>0.72916666666666663</v>
      </c>
      <c r="G20" s="29"/>
      <c r="H20" s="29"/>
      <c r="I20" s="29">
        <f t="shared" si="0"/>
        <v>0.31249999999999994</v>
      </c>
      <c r="J20" s="29"/>
      <c r="K20" s="29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4" t="str">
        <f>IF(ISNUMBER(MATCH(A20, 設定休日!$B$3:$B$50, 0)), 1, "")</f>
        <v/>
      </c>
      <c r="Z20" s="24"/>
      <c r="AA20" s="21"/>
      <c r="AB20" s="27"/>
      <c r="AC20" s="27"/>
      <c r="AD20" s="27"/>
      <c r="AE20" s="27"/>
      <c r="AF20" s="27"/>
      <c r="AG20" s="27"/>
      <c r="AH20" s="27"/>
    </row>
    <row r="21" spans="1:40" x14ac:dyDescent="0.4">
      <c r="A21" s="28">
        <v>46026</v>
      </c>
      <c r="B21" s="28"/>
      <c r="C21" s="36">
        <v>0.375</v>
      </c>
      <c r="D21" s="37"/>
      <c r="E21" s="38"/>
      <c r="F21" s="29">
        <v>0.72916666666666663</v>
      </c>
      <c r="G21" s="29"/>
      <c r="H21" s="29"/>
      <c r="I21" s="29">
        <f t="shared" si="0"/>
        <v>0.31249999999999994</v>
      </c>
      <c r="J21" s="29"/>
      <c r="K21" s="29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4" t="str">
        <f>IF(ISNUMBER(MATCH(A21, 設定休日!$B$3:$B$50, 0)), 1, "")</f>
        <v/>
      </c>
      <c r="Z21" s="24"/>
      <c r="AA21" s="21"/>
      <c r="AB21" s="27"/>
      <c r="AC21" s="27"/>
      <c r="AD21" s="27"/>
      <c r="AE21" s="27"/>
      <c r="AF21" s="27"/>
      <c r="AG21" s="27"/>
      <c r="AH21" s="27"/>
    </row>
    <row r="22" spans="1:40" x14ac:dyDescent="0.4">
      <c r="A22" s="28">
        <v>46027</v>
      </c>
      <c r="B22" s="28"/>
      <c r="C22" s="36">
        <v>0.375</v>
      </c>
      <c r="D22" s="37"/>
      <c r="E22" s="38"/>
      <c r="F22" s="29">
        <v>0.72916666666666663</v>
      </c>
      <c r="G22" s="29"/>
      <c r="H22" s="29"/>
      <c r="I22" s="29">
        <f t="shared" si="0"/>
        <v>0.31249999999999994</v>
      </c>
      <c r="J22" s="29"/>
      <c r="K22" s="29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4">
        <f>IF(ISNUMBER(MATCH(A22, 設定休日!$B$3:$B$50, 0)), 1, "")</f>
        <v>1</v>
      </c>
      <c r="Z22" s="24"/>
      <c r="AA22" s="21"/>
      <c r="AB22" s="27"/>
      <c r="AC22" s="27"/>
      <c r="AD22" s="27"/>
      <c r="AE22" s="27"/>
      <c r="AF22" s="27"/>
      <c r="AG22" s="27"/>
      <c r="AH22" s="27"/>
    </row>
    <row r="23" spans="1:40" x14ac:dyDescent="0.4">
      <c r="A23" s="28" t="s">
        <v>61</v>
      </c>
      <c r="B23" s="28"/>
      <c r="C23" s="36">
        <v>0.375</v>
      </c>
      <c r="D23" s="37"/>
      <c r="E23" s="38"/>
      <c r="F23" s="29">
        <v>0.72916666666666663</v>
      </c>
      <c r="G23" s="29"/>
      <c r="H23" s="29"/>
      <c r="I23" s="29">
        <f t="shared" si="0"/>
        <v>0.31249999999999994</v>
      </c>
      <c r="J23" s="29"/>
      <c r="K23" s="29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4" t="str">
        <f>IF(ISNUMBER(MATCH(A23, 設定休日!$B$3:$B$50, 0)), 1, "")</f>
        <v/>
      </c>
      <c r="Z23" s="24"/>
      <c r="AA23" s="21"/>
      <c r="AB23" s="27"/>
      <c r="AC23" s="27"/>
      <c r="AD23" s="27"/>
      <c r="AE23" s="27"/>
      <c r="AF23" s="27"/>
      <c r="AG23" s="27"/>
      <c r="AH23" s="27"/>
    </row>
    <row r="24" spans="1:40" x14ac:dyDescent="0.4">
      <c r="A24" s="28">
        <v>46029</v>
      </c>
      <c r="B24" s="28"/>
      <c r="C24" s="36">
        <v>0.375</v>
      </c>
      <c r="D24" s="37"/>
      <c r="E24" s="38"/>
      <c r="F24" s="29">
        <v>0.72916666666666663</v>
      </c>
      <c r="G24" s="29"/>
      <c r="H24" s="29"/>
      <c r="I24" s="29">
        <f t="shared" si="0"/>
        <v>0.31249999999999994</v>
      </c>
      <c r="J24" s="29"/>
      <c r="K24" s="29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4">
        <f>IF(ISNUMBER(MATCH(A24, 設定休日!$B$3:$B$50, 0)), 1, "")</f>
        <v>1</v>
      </c>
      <c r="Z24" s="24"/>
      <c r="AA24" s="21"/>
      <c r="AB24" s="27"/>
      <c r="AC24" s="27"/>
      <c r="AD24" s="27"/>
      <c r="AE24" s="27"/>
      <c r="AF24" s="27"/>
      <c r="AG24" s="27"/>
      <c r="AH24" s="27"/>
    </row>
    <row r="25" spans="1:40" x14ac:dyDescent="0.4">
      <c r="A25" s="28">
        <v>46030</v>
      </c>
      <c r="B25" s="28"/>
      <c r="C25" s="36">
        <v>0.375</v>
      </c>
      <c r="D25" s="37"/>
      <c r="E25" s="38"/>
      <c r="F25" s="29">
        <v>0.79166666666666663</v>
      </c>
      <c r="G25" s="29"/>
      <c r="H25" s="29"/>
      <c r="I25" s="29">
        <f t="shared" si="0"/>
        <v>0.37499999999999994</v>
      </c>
      <c r="J25" s="29"/>
      <c r="K25" s="29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4" t="str">
        <f>IF(ISNUMBER(MATCH(A25, 設定休日!$B$3:$B$50, 0)), 1, "")</f>
        <v/>
      </c>
      <c r="Z25" s="24"/>
      <c r="AA25" s="21"/>
      <c r="AB25" s="27"/>
      <c r="AC25" s="27"/>
      <c r="AD25" s="27"/>
      <c r="AE25" s="27"/>
      <c r="AF25" s="27"/>
      <c r="AG25" s="27"/>
      <c r="AH25" s="27"/>
    </row>
    <row r="26" spans="1:40" x14ac:dyDescent="0.4">
      <c r="A26" s="28">
        <v>46031</v>
      </c>
      <c r="B26" s="28"/>
      <c r="C26" s="36">
        <v>0.375</v>
      </c>
      <c r="D26" s="37"/>
      <c r="E26" s="38"/>
      <c r="F26" s="29">
        <v>0.54166666666666663</v>
      </c>
      <c r="G26" s="29"/>
      <c r="H26" s="29"/>
      <c r="I26" s="29">
        <f t="shared" si="0"/>
        <v>0.12499999999999997</v>
      </c>
      <c r="J26" s="29"/>
      <c r="K26" s="29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4" t="str">
        <f>IF(ISNUMBER(MATCH(A26, 設定休日!$B$3:$B$50, 0)), 1, "")</f>
        <v/>
      </c>
      <c r="Z26" s="24"/>
      <c r="AA26" s="21"/>
      <c r="AB26" s="27"/>
      <c r="AC26" s="27"/>
      <c r="AD26" s="27"/>
      <c r="AE26" s="27"/>
      <c r="AF26" s="27"/>
      <c r="AG26" s="27"/>
      <c r="AH26" s="27"/>
    </row>
    <row r="27" spans="1:40" x14ac:dyDescent="0.4">
      <c r="A27" s="28">
        <v>46032</v>
      </c>
      <c r="B27" s="28"/>
      <c r="C27" s="36">
        <v>0.375</v>
      </c>
      <c r="D27" s="37"/>
      <c r="E27" s="38"/>
      <c r="F27" s="29">
        <v>0.79166666666666663</v>
      </c>
      <c r="G27" s="29"/>
      <c r="H27" s="29"/>
      <c r="I27" s="29">
        <f t="shared" si="0"/>
        <v>0.37499999999999994</v>
      </c>
      <c r="J27" s="29"/>
      <c r="K27" s="29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4" t="str">
        <f>IF(ISNUMBER(MATCH(A27, 設定休日!$B$3:$B$50, 0)), 1, "")</f>
        <v/>
      </c>
      <c r="Z27" s="24"/>
      <c r="AA27" s="21"/>
      <c r="AB27" s="27"/>
      <c r="AC27" s="27"/>
      <c r="AD27" s="27"/>
      <c r="AE27" s="27"/>
      <c r="AF27" s="27"/>
      <c r="AG27" s="27"/>
      <c r="AH27" s="27"/>
    </row>
    <row r="28" spans="1:40" x14ac:dyDescent="0.4">
      <c r="A28" s="28">
        <v>46033</v>
      </c>
      <c r="B28" s="28"/>
      <c r="C28" s="36">
        <v>0.375</v>
      </c>
      <c r="D28" s="37"/>
      <c r="E28" s="38"/>
      <c r="F28" s="29">
        <v>0.79166666666666663</v>
      </c>
      <c r="G28" s="29"/>
      <c r="H28" s="29"/>
      <c r="I28" s="29">
        <f t="shared" si="0"/>
        <v>0.37499999999999994</v>
      </c>
      <c r="J28" s="29"/>
      <c r="K28" s="29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4" t="str">
        <f>IF(ISNUMBER(MATCH(A28, 設定休日!$B$3:$B$50, 0)), 1, "")</f>
        <v/>
      </c>
      <c r="Z28" s="24"/>
      <c r="AA28" s="21"/>
      <c r="AB28" s="27"/>
      <c r="AC28" s="27"/>
      <c r="AD28" s="27"/>
      <c r="AE28" s="27"/>
      <c r="AF28" s="27"/>
      <c r="AG28" s="27"/>
      <c r="AH28" s="27"/>
    </row>
    <row r="29" spans="1:40" x14ac:dyDescent="0.4">
      <c r="A29" s="28">
        <v>46034</v>
      </c>
      <c r="B29" s="28"/>
      <c r="C29" s="36">
        <v>0.375</v>
      </c>
      <c r="D29" s="37"/>
      <c r="E29" s="38"/>
      <c r="F29" s="29">
        <v>0.79166666666666663</v>
      </c>
      <c r="G29" s="29"/>
      <c r="H29" s="29"/>
      <c r="I29" s="29">
        <f t="shared" si="0"/>
        <v>0.37499999999999994</v>
      </c>
      <c r="J29" s="29"/>
      <c r="K29" s="29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4">
        <f>IF(ISNUMBER(MATCH(A29, 設定休日!$B$3:$B$50, 0)), 1, "")</f>
        <v>1</v>
      </c>
      <c r="Z29" s="24"/>
      <c r="AA29" s="21"/>
      <c r="AB29" s="27"/>
      <c r="AC29" s="27"/>
      <c r="AD29" s="27"/>
      <c r="AE29" s="27"/>
      <c r="AF29" s="27"/>
      <c r="AG29" s="27"/>
      <c r="AH29" s="27"/>
    </row>
    <row r="30" spans="1:40" x14ac:dyDescent="0.4">
      <c r="A30" s="28">
        <v>46035</v>
      </c>
      <c r="B30" s="28"/>
      <c r="C30" s="36">
        <v>0.375</v>
      </c>
      <c r="D30" s="37"/>
      <c r="E30" s="38"/>
      <c r="F30" s="29">
        <v>0.79166666666666663</v>
      </c>
      <c r="G30" s="29"/>
      <c r="H30" s="29"/>
      <c r="I30" s="29">
        <f t="shared" si="0"/>
        <v>0.37499999999999994</v>
      </c>
      <c r="J30" s="29"/>
      <c r="K30" s="29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4" t="str">
        <f>IF(ISNUMBER(MATCH(A30, 設定休日!$B$3:$B$50, 0)), 1, "")</f>
        <v/>
      </c>
      <c r="Z30" s="24"/>
      <c r="AA30" s="21"/>
      <c r="AB30" s="27"/>
      <c r="AC30" s="27"/>
      <c r="AD30" s="27"/>
      <c r="AE30" s="27"/>
      <c r="AF30" s="27"/>
      <c r="AG30" s="27"/>
      <c r="AH30" s="27"/>
      <c r="AI30" s="13">
        <f>MONTH(A30)</f>
        <v>1</v>
      </c>
      <c r="AJ30" s="11" t="s">
        <v>47</v>
      </c>
      <c r="AK30" s="11" t="s">
        <v>48</v>
      </c>
      <c r="AM30" s="9" t="s">
        <v>50</v>
      </c>
      <c r="AN30" s="9" t="s">
        <v>53</v>
      </c>
    </row>
    <row r="31" spans="1:40" x14ac:dyDescent="0.4">
      <c r="A31" s="28">
        <v>46036</v>
      </c>
      <c r="B31" s="28"/>
      <c r="C31" s="36">
        <v>0.375</v>
      </c>
      <c r="D31" s="37"/>
      <c r="E31" s="38"/>
      <c r="F31" s="29">
        <v>0.79166666666666663</v>
      </c>
      <c r="G31" s="29"/>
      <c r="H31" s="29"/>
      <c r="I31" s="29">
        <f t="shared" si="0"/>
        <v>0.37499999999999994</v>
      </c>
      <c r="J31" s="29"/>
      <c r="K31" s="29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4" t="str">
        <f>IF(ISNUMBER(MATCH(A31, 設定休日!$B$3:$B$50, 0)), 1, "")</f>
        <v/>
      </c>
      <c r="Z31" s="24"/>
      <c r="AA31" s="21"/>
      <c r="AB31" s="27"/>
      <c r="AC31" s="27"/>
      <c r="AD31" s="27"/>
      <c r="AE31" s="27"/>
      <c r="AF31" s="27"/>
      <c r="AG31" s="27"/>
      <c r="AH31" s="27"/>
      <c r="AI31" s="14" t="s">
        <v>41</v>
      </c>
      <c r="AJ31" s="9">
        <f>AM31-AM32+1</f>
        <v>31</v>
      </c>
      <c r="AK31" s="9">
        <f>AJ31</f>
        <v>31</v>
      </c>
      <c r="AM31" s="9">
        <f>MATCH(DATE($A$4,AI30,20),A:A,0)</f>
        <v>37</v>
      </c>
      <c r="AN31" s="9" t="s">
        <v>51</v>
      </c>
    </row>
    <row r="32" spans="1:40" x14ac:dyDescent="0.4">
      <c r="A32" s="28">
        <v>46037</v>
      </c>
      <c r="B32" s="28"/>
      <c r="C32" s="36">
        <v>0.375</v>
      </c>
      <c r="D32" s="37"/>
      <c r="E32" s="38"/>
      <c r="F32" s="29">
        <v>0.79166666666666663</v>
      </c>
      <c r="G32" s="29"/>
      <c r="H32" s="29"/>
      <c r="I32" s="29">
        <f t="shared" si="0"/>
        <v>0.37499999999999994</v>
      </c>
      <c r="J32" s="29"/>
      <c r="K32" s="29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4" t="str">
        <f>IF(ISNUMBER(MATCH(A32, 設定休日!$B$3:$B$50, 0)), 1, "")</f>
        <v/>
      </c>
      <c r="Z32" s="24"/>
      <c r="AA32" s="21"/>
      <c r="AB32" s="27"/>
      <c r="AC32" s="27"/>
      <c r="AD32" s="27"/>
      <c r="AE32" s="27"/>
      <c r="AF32" s="27"/>
      <c r="AG32" s="27"/>
      <c r="AH32" s="27"/>
      <c r="AI32" s="9" t="s">
        <v>42</v>
      </c>
      <c r="AJ32" s="9" cm="1">
        <f t="array" aca="1" ref="AJ32" ca="1">AJ31-SUMPRODUCT(COUNTIF(INDIRECT("A"&amp;AM31&amp;":A"&amp;AM32),祝日!#REF!))+SUMPRODUCT(COUNTIF(INDIRECT("A"&amp;AM31&amp;":A"&amp;AM32),設定休日!#REF!))</f>
        <v>31</v>
      </c>
      <c r="AK32" s="9">
        <f ca="1">AJ32</f>
        <v>31</v>
      </c>
      <c r="AM32" s="9">
        <f>MATCH(DATE(IF(MONTH(A13)=12,$A$4-1,$A$4),MONTH(A13),21),A:A,0)</f>
        <v>7</v>
      </c>
      <c r="AN32" s="9" t="s">
        <v>56</v>
      </c>
    </row>
    <row r="33" spans="1:40" x14ac:dyDescent="0.4">
      <c r="A33" s="28">
        <v>46038</v>
      </c>
      <c r="B33" s="28"/>
      <c r="C33" s="36">
        <v>0.375</v>
      </c>
      <c r="D33" s="37"/>
      <c r="E33" s="38"/>
      <c r="F33" s="29">
        <v>0.79166666666666663</v>
      </c>
      <c r="G33" s="29"/>
      <c r="H33" s="29"/>
      <c r="I33" s="29">
        <f t="shared" si="0"/>
        <v>0.37499999999999994</v>
      </c>
      <c r="J33" s="29"/>
      <c r="K33" s="29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4" t="str">
        <f>IF(ISNUMBER(MATCH(A33, 設定休日!$B$3:$B$50, 0)), 1, "")</f>
        <v/>
      </c>
      <c r="Z33" s="24"/>
      <c r="AA33" s="21"/>
      <c r="AB33" s="27"/>
      <c r="AC33" s="27"/>
      <c r="AD33" s="27"/>
      <c r="AE33" s="27"/>
      <c r="AF33" s="27"/>
      <c r="AG33" s="27"/>
      <c r="AH33" s="27"/>
      <c r="AI33" s="9" t="s">
        <v>43</v>
      </c>
      <c r="AJ33" s="12">
        <f ca="1">AJ32*TIME(7,0,0)</f>
        <v>9.0416666666666679</v>
      </c>
      <c r="AM33" s="9" t="s">
        <v>54</v>
      </c>
      <c r="AN33" s="9" t="s">
        <v>55</v>
      </c>
    </row>
    <row r="34" spans="1:40" x14ac:dyDescent="0.4">
      <c r="A34" s="28">
        <v>46039</v>
      </c>
      <c r="B34" s="28"/>
      <c r="C34" s="36">
        <v>0.375</v>
      </c>
      <c r="D34" s="37"/>
      <c r="E34" s="38"/>
      <c r="F34" s="29">
        <v>0.72916666666666663</v>
      </c>
      <c r="G34" s="29"/>
      <c r="H34" s="29"/>
      <c r="I34" s="29">
        <f t="shared" si="0"/>
        <v>0.31249999999999994</v>
      </c>
      <c r="J34" s="29"/>
      <c r="K34" s="29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4" t="str">
        <f>IF(ISNUMBER(MATCH(A34, 設定休日!$B$3:$B$50, 0)), 1, "")</f>
        <v/>
      </c>
      <c r="Z34" s="24"/>
      <c r="AA34" s="21"/>
      <c r="AB34" s="27"/>
      <c r="AC34" s="27"/>
      <c r="AD34" s="27"/>
      <c r="AE34" s="27"/>
      <c r="AF34" s="27"/>
      <c r="AG34" s="27"/>
      <c r="AH34" s="27"/>
      <c r="AI34" s="9" t="s">
        <v>44</v>
      </c>
      <c r="AJ34" s="12">
        <f ca="1">SUM(INDIRECT("I"&amp;AM31&amp;":I"&amp;AM32))</f>
        <v>10.781805555555556</v>
      </c>
      <c r="AN34" s="9" t="s">
        <v>59</v>
      </c>
    </row>
    <row r="35" spans="1:40" x14ac:dyDescent="0.4">
      <c r="A35" s="28">
        <v>46040</v>
      </c>
      <c r="B35" s="28"/>
      <c r="C35" s="36">
        <v>0.375</v>
      </c>
      <c r="D35" s="37"/>
      <c r="E35" s="38"/>
      <c r="F35" s="29">
        <v>0.72916666666666663</v>
      </c>
      <c r="G35" s="29"/>
      <c r="H35" s="29"/>
      <c r="I35" s="29">
        <f t="shared" si="0"/>
        <v>0.31249999999999994</v>
      </c>
      <c r="J35" s="29"/>
      <c r="K35" s="29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4" t="str">
        <f>IF(ISNUMBER(MATCH(A35, 設定休日!$B$3:$B$50, 0)), 1, "")</f>
        <v/>
      </c>
      <c r="Z35" s="24"/>
      <c r="AA35" s="21"/>
      <c r="AB35" s="27"/>
      <c r="AC35" s="27"/>
      <c r="AD35" s="27"/>
      <c r="AE35" s="27"/>
      <c r="AF35" s="27"/>
      <c r="AG35" s="27"/>
      <c r="AH35" s="27"/>
      <c r="AI35" s="9" t="s">
        <v>49</v>
      </c>
      <c r="AJ35" s="12">
        <f ca="1">IF(AJ34-AJ33&lt;=0,"",AJ34-AJ33)</f>
        <v>1.7401388888888878</v>
      </c>
    </row>
    <row r="36" spans="1:40" x14ac:dyDescent="0.4">
      <c r="A36" s="28">
        <v>46041</v>
      </c>
      <c r="B36" s="28"/>
      <c r="C36" s="36">
        <v>0.375</v>
      </c>
      <c r="D36" s="37"/>
      <c r="E36" s="38"/>
      <c r="F36" s="29">
        <v>0.72916666666666663</v>
      </c>
      <c r="G36" s="29"/>
      <c r="H36" s="29"/>
      <c r="I36" s="29">
        <f t="shared" si="0"/>
        <v>0.31249999999999994</v>
      </c>
      <c r="J36" s="29"/>
      <c r="K36" s="29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4" t="str">
        <f>IF(ISNUMBER(MATCH(A36, 設定休日!$B$3:$B$50, 0)), 1, "")</f>
        <v/>
      </c>
      <c r="Z36" s="24"/>
      <c r="AA36" s="21"/>
      <c r="AB36" s="27"/>
      <c r="AC36" s="27"/>
      <c r="AD36" s="27"/>
      <c r="AE36" s="27"/>
      <c r="AF36" s="27"/>
      <c r="AG36" s="27"/>
      <c r="AH36" s="27"/>
      <c r="AI36" s="9" t="s">
        <v>45</v>
      </c>
      <c r="AJ36" s="9">
        <f ca="1">COUNTA(INDIRECT("Z"&amp;AM31&amp;":Z"&amp;AM32))</f>
        <v>0</v>
      </c>
      <c r="AK36" s="9" cm="1">
        <f t="array" ref="AK36">SUMPRODUCT( --(Z7:Z382&lt;&gt;""))</f>
        <v>0</v>
      </c>
    </row>
    <row r="37" spans="1:40" ht="19.5" thickBot="1" x14ac:dyDescent="0.45">
      <c r="A37" s="34">
        <v>46042</v>
      </c>
      <c r="B37" s="34"/>
      <c r="C37" s="39">
        <v>0.375</v>
      </c>
      <c r="D37" s="40"/>
      <c r="E37" s="41"/>
      <c r="F37" s="35">
        <v>0.72916666666666663</v>
      </c>
      <c r="G37" s="35"/>
      <c r="H37" s="35"/>
      <c r="I37" s="35">
        <f t="shared" si="0"/>
        <v>0.31249999999999994</v>
      </c>
      <c r="J37" s="35"/>
      <c r="K37" s="35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25" t="str">
        <f>IF(ISNUMBER(MATCH(A37, 設定休日!$B$3:$B$50, 0)), 1, "")</f>
        <v/>
      </c>
      <c r="Z37" s="25"/>
      <c r="AA37" s="23"/>
      <c r="AB37" s="30"/>
      <c r="AC37" s="30"/>
      <c r="AD37" s="30"/>
      <c r="AE37" s="30"/>
      <c r="AF37" s="30"/>
      <c r="AG37" s="30"/>
      <c r="AH37" s="30"/>
      <c r="AI37" s="10" t="s">
        <v>46</v>
      </c>
      <c r="AJ37" s="10">
        <f ca="1">SUM(INDIRECT("AA"&amp;AM31&amp;":AA"&amp;AM32))</f>
        <v>0</v>
      </c>
      <c r="AK37" s="10">
        <f>SUM(AA7:AA382)</f>
        <v>0</v>
      </c>
      <c r="AL37" s="10"/>
      <c r="AM37" s="10"/>
    </row>
    <row r="38" spans="1:40" x14ac:dyDescent="0.4">
      <c r="A38" s="31">
        <v>46043</v>
      </c>
      <c r="B38" s="31"/>
      <c r="C38" s="33">
        <v>0.375</v>
      </c>
      <c r="D38" s="33"/>
      <c r="E38" s="33"/>
      <c r="F38" s="33">
        <v>0.72916666666666663</v>
      </c>
      <c r="G38" s="33"/>
      <c r="H38" s="33"/>
      <c r="I38" s="33">
        <f t="shared" si="0"/>
        <v>0.31249999999999994</v>
      </c>
      <c r="J38" s="33"/>
      <c r="K38" s="33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26" t="str">
        <f>IF(ISNUMBER(MATCH(A38, 設定休日!$B$3:$B$50, 0)), 1, "")</f>
        <v/>
      </c>
      <c r="Z38" s="26"/>
      <c r="AA38" s="22"/>
      <c r="AB38" s="32"/>
      <c r="AC38" s="32"/>
      <c r="AD38" s="32"/>
      <c r="AE38" s="32"/>
      <c r="AF38" s="32"/>
      <c r="AG38" s="32"/>
      <c r="AH38" s="32"/>
    </row>
    <row r="39" spans="1:40" x14ac:dyDescent="0.4">
      <c r="A39" s="28">
        <v>46044</v>
      </c>
      <c r="B39" s="28"/>
      <c r="C39" s="29">
        <v>0.375</v>
      </c>
      <c r="D39" s="29"/>
      <c r="E39" s="29"/>
      <c r="F39" s="29">
        <v>0.72916666666666663</v>
      </c>
      <c r="G39" s="29"/>
      <c r="H39" s="29"/>
      <c r="I39" s="29">
        <f t="shared" si="0"/>
        <v>0.31249999999999994</v>
      </c>
      <c r="J39" s="29"/>
      <c r="K39" s="29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4" t="str">
        <f>IF(ISNUMBER(MATCH(A39, 設定休日!$B$3:$B$50, 0)), 1, "")</f>
        <v/>
      </c>
      <c r="Z39" s="24"/>
      <c r="AA39" s="21"/>
      <c r="AB39" s="27"/>
      <c r="AC39" s="27"/>
      <c r="AD39" s="27"/>
      <c r="AE39" s="27"/>
      <c r="AF39" s="27"/>
      <c r="AG39" s="27"/>
      <c r="AH39" s="27"/>
    </row>
    <row r="40" spans="1:40" x14ac:dyDescent="0.4">
      <c r="A40" s="28">
        <v>46045</v>
      </c>
      <c r="B40" s="28"/>
      <c r="C40" s="29">
        <v>0.375</v>
      </c>
      <c r="D40" s="29"/>
      <c r="E40" s="29"/>
      <c r="F40" s="29">
        <v>0.72916666666666663</v>
      </c>
      <c r="G40" s="29"/>
      <c r="H40" s="29"/>
      <c r="I40" s="29">
        <f t="shared" si="0"/>
        <v>0.31249999999999994</v>
      </c>
      <c r="J40" s="29"/>
      <c r="K40" s="29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4" t="str">
        <f>IF(ISNUMBER(MATCH(A40, 設定休日!$B$3:$B$50, 0)), 1, "")</f>
        <v/>
      </c>
      <c r="Z40" s="24"/>
      <c r="AA40" s="21"/>
      <c r="AB40" s="27"/>
      <c r="AC40" s="27"/>
      <c r="AD40" s="27"/>
      <c r="AE40" s="27"/>
      <c r="AF40" s="27"/>
      <c r="AG40" s="27"/>
      <c r="AH40" s="27"/>
    </row>
    <row r="41" spans="1:40" x14ac:dyDescent="0.4">
      <c r="A41" s="28">
        <v>46046</v>
      </c>
      <c r="B41" s="28"/>
      <c r="C41" s="29">
        <v>0.375</v>
      </c>
      <c r="D41" s="29"/>
      <c r="E41" s="29"/>
      <c r="F41" s="29">
        <v>0.72916666666666663</v>
      </c>
      <c r="G41" s="29"/>
      <c r="H41" s="29"/>
      <c r="I41" s="29">
        <f t="shared" si="0"/>
        <v>0.31249999999999994</v>
      </c>
      <c r="J41" s="29"/>
      <c r="K41" s="29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4" t="str">
        <f>IF(ISNUMBER(MATCH(A41, 設定休日!$B$3:$B$50, 0)), 1, "")</f>
        <v/>
      </c>
      <c r="Z41" s="24"/>
      <c r="AA41" s="21"/>
      <c r="AB41" s="27"/>
      <c r="AC41" s="27"/>
      <c r="AD41" s="27"/>
      <c r="AE41" s="27"/>
      <c r="AF41" s="27"/>
      <c r="AG41" s="27"/>
      <c r="AH41" s="27"/>
    </row>
    <row r="42" spans="1:40" x14ac:dyDescent="0.4">
      <c r="A42" s="28">
        <v>46047</v>
      </c>
      <c r="B42" s="28"/>
      <c r="C42" s="29">
        <v>0.375</v>
      </c>
      <c r="D42" s="29"/>
      <c r="E42" s="29"/>
      <c r="F42" s="29">
        <v>0.72916666666666663</v>
      </c>
      <c r="G42" s="29"/>
      <c r="H42" s="29"/>
      <c r="I42" s="29">
        <f t="shared" si="0"/>
        <v>0.31249999999999994</v>
      </c>
      <c r="J42" s="29"/>
      <c r="K42" s="29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4" t="str">
        <f>IF(ISNUMBER(MATCH(A42, 設定休日!$B$3:$B$50, 0)), 1, "")</f>
        <v/>
      </c>
      <c r="Z42" s="24"/>
      <c r="AA42" s="21"/>
      <c r="AB42" s="27"/>
      <c r="AC42" s="27"/>
      <c r="AD42" s="27"/>
      <c r="AE42" s="27"/>
      <c r="AF42" s="27"/>
      <c r="AG42" s="27"/>
      <c r="AH42" s="27"/>
    </row>
    <row r="43" spans="1:40" x14ac:dyDescent="0.4">
      <c r="A43" s="28">
        <v>46048</v>
      </c>
      <c r="B43" s="28"/>
      <c r="C43" s="29">
        <v>0.375</v>
      </c>
      <c r="D43" s="29"/>
      <c r="E43" s="29"/>
      <c r="F43" s="29">
        <v>0.79166666666666663</v>
      </c>
      <c r="G43" s="29"/>
      <c r="H43" s="29"/>
      <c r="I43" s="29">
        <f t="shared" si="0"/>
        <v>0.37499999999999994</v>
      </c>
      <c r="J43" s="29"/>
      <c r="K43" s="29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4" t="str">
        <f>IF(ISNUMBER(MATCH(A43, 設定休日!$B$3:$B$50, 0)), 1, "")</f>
        <v/>
      </c>
      <c r="Z43" s="24"/>
      <c r="AA43" s="21"/>
      <c r="AB43" s="27"/>
      <c r="AC43" s="27"/>
      <c r="AD43" s="27"/>
      <c r="AE43" s="27"/>
      <c r="AF43" s="27"/>
      <c r="AG43" s="27"/>
      <c r="AH43" s="27"/>
    </row>
    <row r="44" spans="1:40" x14ac:dyDescent="0.4">
      <c r="A44" s="28">
        <v>46049</v>
      </c>
      <c r="B44" s="28"/>
      <c r="C44" s="29">
        <v>0.375</v>
      </c>
      <c r="D44" s="29"/>
      <c r="E44" s="29"/>
      <c r="F44" s="29">
        <v>0.72916666666666663</v>
      </c>
      <c r="G44" s="29"/>
      <c r="H44" s="29"/>
      <c r="I44" s="29">
        <f t="shared" si="0"/>
        <v>0.31249999999999994</v>
      </c>
      <c r="J44" s="29"/>
      <c r="K44" s="29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4" t="str">
        <f>IF(ISNUMBER(MATCH(A44, 設定休日!$B$3:$B$50, 0)), 1, "")</f>
        <v/>
      </c>
      <c r="Z44" s="24"/>
      <c r="AA44" s="21"/>
      <c r="AB44" s="27"/>
      <c r="AC44" s="27"/>
      <c r="AD44" s="27"/>
      <c r="AE44" s="27"/>
      <c r="AF44" s="27"/>
      <c r="AG44" s="27"/>
      <c r="AH44" s="27"/>
    </row>
    <row r="45" spans="1:40" x14ac:dyDescent="0.4">
      <c r="A45" s="28">
        <v>46050</v>
      </c>
      <c r="B45" s="28"/>
      <c r="C45" s="29">
        <v>0.375</v>
      </c>
      <c r="D45" s="29"/>
      <c r="E45" s="29"/>
      <c r="F45" s="29">
        <v>0.72916666666666663</v>
      </c>
      <c r="G45" s="29"/>
      <c r="H45" s="29"/>
      <c r="I45" s="29">
        <f t="shared" si="0"/>
        <v>0.31249999999999994</v>
      </c>
      <c r="J45" s="29"/>
      <c r="K45" s="29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4" t="str">
        <f>IF(ISNUMBER(MATCH(A45, 設定休日!$B$3:$B$50, 0)), 1, "")</f>
        <v/>
      </c>
      <c r="Z45" s="24"/>
      <c r="AA45" s="21"/>
      <c r="AB45" s="27"/>
      <c r="AC45" s="27"/>
      <c r="AD45" s="27"/>
      <c r="AE45" s="27"/>
      <c r="AF45" s="27"/>
      <c r="AG45" s="27"/>
      <c r="AH45" s="27"/>
    </row>
    <row r="46" spans="1:40" x14ac:dyDescent="0.4">
      <c r="A46" s="28">
        <v>46051</v>
      </c>
      <c r="B46" s="28"/>
      <c r="C46" s="29">
        <v>0.375</v>
      </c>
      <c r="D46" s="29"/>
      <c r="E46" s="29"/>
      <c r="F46" s="29">
        <v>0.72916666666666663</v>
      </c>
      <c r="G46" s="29"/>
      <c r="H46" s="29"/>
      <c r="I46" s="29">
        <f t="shared" si="0"/>
        <v>0.31249999999999994</v>
      </c>
      <c r="J46" s="29"/>
      <c r="K46" s="29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4" t="str">
        <f>IF(ISNUMBER(MATCH(A46, 設定休日!$B$3:$B$50, 0)), 1, "")</f>
        <v/>
      </c>
      <c r="Z46" s="24"/>
      <c r="AA46" s="21"/>
      <c r="AB46" s="27"/>
      <c r="AC46" s="27"/>
      <c r="AD46" s="27"/>
      <c r="AE46" s="27"/>
      <c r="AF46" s="27"/>
      <c r="AG46" s="27"/>
      <c r="AH46" s="27"/>
    </row>
    <row r="47" spans="1:40" x14ac:dyDescent="0.4">
      <c r="A47" s="28">
        <v>46052</v>
      </c>
      <c r="B47" s="28"/>
      <c r="C47" s="29">
        <v>0.375</v>
      </c>
      <c r="D47" s="29"/>
      <c r="E47" s="29"/>
      <c r="F47" s="29">
        <v>0.72916666666666663</v>
      </c>
      <c r="G47" s="29"/>
      <c r="H47" s="29"/>
      <c r="I47" s="29">
        <f t="shared" si="0"/>
        <v>0.31249999999999994</v>
      </c>
      <c r="J47" s="29"/>
      <c r="K47" s="29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4" t="str">
        <f>IF(ISNUMBER(MATCH(A47, 設定休日!$B$3:$B$50, 0)), 1, "")</f>
        <v/>
      </c>
      <c r="Z47" s="24"/>
      <c r="AA47" s="21"/>
      <c r="AB47" s="27"/>
      <c r="AC47" s="27"/>
      <c r="AD47" s="27"/>
      <c r="AE47" s="27"/>
      <c r="AF47" s="27"/>
      <c r="AG47" s="27"/>
      <c r="AH47" s="27"/>
    </row>
    <row r="48" spans="1:40" x14ac:dyDescent="0.4">
      <c r="A48" s="28">
        <v>46053</v>
      </c>
      <c r="B48" s="28"/>
      <c r="C48" s="29">
        <v>0.375</v>
      </c>
      <c r="D48" s="29"/>
      <c r="E48" s="29"/>
      <c r="F48" s="29">
        <v>0.72916666666666663</v>
      </c>
      <c r="G48" s="29"/>
      <c r="H48" s="29"/>
      <c r="I48" s="29">
        <f t="shared" si="0"/>
        <v>0.31249999999999994</v>
      </c>
      <c r="J48" s="29"/>
      <c r="K48" s="29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4" t="str">
        <f>IF(ISNUMBER(MATCH(A48, 設定休日!$B$3:$B$50, 0)), 1, "")</f>
        <v/>
      </c>
      <c r="Z48" s="24"/>
      <c r="AA48" s="21"/>
      <c r="AB48" s="27"/>
      <c r="AC48" s="27"/>
      <c r="AD48" s="27"/>
      <c r="AE48" s="27"/>
      <c r="AF48" s="27"/>
      <c r="AG48" s="27"/>
      <c r="AH48" s="27"/>
    </row>
    <row r="49" spans="1:40" x14ac:dyDescent="0.4">
      <c r="A49" s="28">
        <v>46054</v>
      </c>
      <c r="B49" s="28"/>
      <c r="C49" s="29">
        <v>0.375</v>
      </c>
      <c r="D49" s="29"/>
      <c r="E49" s="29"/>
      <c r="F49" s="29">
        <v>0.79166666666666663</v>
      </c>
      <c r="G49" s="29"/>
      <c r="H49" s="29"/>
      <c r="I49" s="29">
        <f t="shared" si="0"/>
        <v>0.37499999999999994</v>
      </c>
      <c r="J49" s="29"/>
      <c r="K49" s="29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4" t="str">
        <f>IF(ISNUMBER(MATCH(A49, 設定休日!$B$3:$B$50, 0)), 1, "")</f>
        <v/>
      </c>
      <c r="Z49" s="24"/>
      <c r="AA49" s="21"/>
      <c r="AB49" s="27"/>
      <c r="AC49" s="27"/>
      <c r="AD49" s="27"/>
      <c r="AE49" s="27"/>
      <c r="AF49" s="27"/>
      <c r="AG49" s="27"/>
      <c r="AH49" s="27"/>
    </row>
    <row r="50" spans="1:40" x14ac:dyDescent="0.4">
      <c r="A50" s="28">
        <v>46055</v>
      </c>
      <c r="B50" s="28"/>
      <c r="C50" s="29">
        <v>0.375</v>
      </c>
      <c r="D50" s="29"/>
      <c r="E50" s="29"/>
      <c r="F50" s="29">
        <v>0.79166666666666663</v>
      </c>
      <c r="G50" s="29"/>
      <c r="H50" s="29"/>
      <c r="I50" s="29">
        <f t="shared" si="0"/>
        <v>0.37499999999999994</v>
      </c>
      <c r="J50" s="29"/>
      <c r="K50" s="29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4" t="str">
        <f>IF(ISNUMBER(MATCH(A50, 設定休日!$B$3:$B$50, 0)), 1, "")</f>
        <v/>
      </c>
      <c r="Z50" s="24"/>
      <c r="AA50" s="21"/>
      <c r="AB50" s="27"/>
      <c r="AC50" s="27"/>
      <c r="AD50" s="27"/>
      <c r="AE50" s="27"/>
      <c r="AF50" s="27"/>
      <c r="AG50" s="27"/>
      <c r="AH50" s="27"/>
    </row>
    <row r="51" spans="1:40" x14ac:dyDescent="0.4">
      <c r="A51" s="28">
        <v>46056</v>
      </c>
      <c r="B51" s="28"/>
      <c r="C51" s="29">
        <v>0.375</v>
      </c>
      <c r="D51" s="29"/>
      <c r="E51" s="29"/>
      <c r="F51" s="29">
        <v>0.72916666666666663</v>
      </c>
      <c r="G51" s="29"/>
      <c r="H51" s="29"/>
      <c r="I51" s="29">
        <f t="shared" si="0"/>
        <v>0.31249999999999994</v>
      </c>
      <c r="J51" s="29"/>
      <c r="K51" s="29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4" t="str">
        <f>IF(ISNUMBER(MATCH(A51, 設定休日!$B$3:$B$50, 0)), 1, "")</f>
        <v/>
      </c>
      <c r="Z51" s="24"/>
      <c r="AA51" s="21"/>
      <c r="AB51" s="27"/>
      <c r="AC51" s="27"/>
      <c r="AD51" s="27"/>
      <c r="AE51" s="27"/>
      <c r="AF51" s="27"/>
      <c r="AG51" s="27"/>
      <c r="AH51" s="27"/>
    </row>
    <row r="52" spans="1:40" x14ac:dyDescent="0.4">
      <c r="A52" s="28">
        <v>46057</v>
      </c>
      <c r="B52" s="28"/>
      <c r="C52" s="29">
        <v>0.375</v>
      </c>
      <c r="D52" s="29"/>
      <c r="E52" s="29"/>
      <c r="F52" s="29">
        <v>0.72916666666666663</v>
      </c>
      <c r="G52" s="29"/>
      <c r="H52" s="29"/>
      <c r="I52" s="29">
        <f t="shared" si="0"/>
        <v>0.31249999999999994</v>
      </c>
      <c r="J52" s="29"/>
      <c r="K52" s="29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4" t="str">
        <f>IF(ISNUMBER(MATCH(A52, 設定休日!$B$3:$B$50, 0)), 1, "")</f>
        <v/>
      </c>
      <c r="Z52" s="24"/>
      <c r="AA52" s="21"/>
      <c r="AB52" s="27"/>
      <c r="AC52" s="27"/>
      <c r="AD52" s="27"/>
      <c r="AE52" s="27"/>
      <c r="AF52" s="27"/>
      <c r="AG52" s="27"/>
      <c r="AH52" s="27"/>
      <c r="AJ52" s="19"/>
    </row>
    <row r="53" spans="1:40" x14ac:dyDescent="0.4">
      <c r="A53" s="28">
        <v>46058</v>
      </c>
      <c r="B53" s="28"/>
      <c r="C53" s="29">
        <v>0.375</v>
      </c>
      <c r="D53" s="29"/>
      <c r="E53" s="29"/>
      <c r="F53" s="29">
        <v>0.72916666666666663</v>
      </c>
      <c r="G53" s="29"/>
      <c r="H53" s="29"/>
      <c r="I53" s="29">
        <f t="shared" si="0"/>
        <v>0.31249999999999994</v>
      </c>
      <c r="J53" s="29"/>
      <c r="K53" s="29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4" t="str">
        <f>IF(ISNUMBER(MATCH(A53, 設定休日!$B$3:$B$50, 0)), 1, "")</f>
        <v/>
      </c>
      <c r="Z53" s="24"/>
      <c r="AA53" s="21"/>
      <c r="AB53" s="27"/>
      <c r="AC53" s="27"/>
      <c r="AD53" s="27"/>
      <c r="AE53" s="27"/>
      <c r="AF53" s="27"/>
      <c r="AG53" s="27"/>
      <c r="AH53" s="27"/>
    </row>
    <row r="54" spans="1:40" x14ac:dyDescent="0.4">
      <c r="A54" s="28">
        <v>46059</v>
      </c>
      <c r="B54" s="28"/>
      <c r="C54" s="29">
        <v>0.375</v>
      </c>
      <c r="D54" s="29"/>
      <c r="E54" s="29"/>
      <c r="F54" s="29">
        <v>0.72916666666666663</v>
      </c>
      <c r="G54" s="29"/>
      <c r="H54" s="29"/>
      <c r="I54" s="29">
        <f t="shared" si="0"/>
        <v>0.31249999999999994</v>
      </c>
      <c r="J54" s="29"/>
      <c r="K54" s="29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4" t="str">
        <f>IF(ISNUMBER(MATCH(A54, 設定休日!$B$3:$B$50, 0)), 1, "")</f>
        <v/>
      </c>
      <c r="Z54" s="24"/>
      <c r="AA54" s="21"/>
      <c r="AB54" s="27"/>
      <c r="AC54" s="27"/>
      <c r="AD54" s="27"/>
      <c r="AE54" s="27"/>
      <c r="AF54" s="27"/>
      <c r="AG54" s="27"/>
      <c r="AH54" s="27"/>
    </row>
    <row r="55" spans="1:40" x14ac:dyDescent="0.4">
      <c r="A55" s="28">
        <v>46060</v>
      </c>
      <c r="B55" s="28"/>
      <c r="C55" s="29">
        <v>0.375</v>
      </c>
      <c r="D55" s="29"/>
      <c r="E55" s="29"/>
      <c r="F55" s="29">
        <v>0.72916666666666663</v>
      </c>
      <c r="G55" s="29"/>
      <c r="H55" s="29"/>
      <c r="I55" s="29">
        <f t="shared" si="0"/>
        <v>0.31249999999999994</v>
      </c>
      <c r="J55" s="29"/>
      <c r="K55" s="29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4" t="str">
        <f>IF(ISNUMBER(MATCH(A55, 設定休日!$B$3:$B$50, 0)), 1, "")</f>
        <v/>
      </c>
      <c r="Z55" s="24"/>
      <c r="AA55" s="21"/>
      <c r="AB55" s="27"/>
      <c r="AC55" s="27"/>
      <c r="AD55" s="27"/>
      <c r="AE55" s="27"/>
      <c r="AF55" s="27"/>
      <c r="AG55" s="27"/>
      <c r="AH55" s="27"/>
    </row>
    <row r="56" spans="1:40" x14ac:dyDescent="0.4">
      <c r="A56" s="28">
        <v>46061</v>
      </c>
      <c r="B56" s="28"/>
      <c r="C56" s="29">
        <v>0.375</v>
      </c>
      <c r="D56" s="29"/>
      <c r="E56" s="29"/>
      <c r="F56" s="29">
        <v>0.79166666666666663</v>
      </c>
      <c r="G56" s="29"/>
      <c r="H56" s="29"/>
      <c r="I56" s="29">
        <f t="shared" si="0"/>
        <v>0.37499999999999994</v>
      </c>
      <c r="J56" s="29"/>
      <c r="K56" s="29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4" t="str">
        <f>IF(ISNUMBER(MATCH(A56, 設定休日!$B$3:$B$50, 0)), 1, "")</f>
        <v/>
      </c>
      <c r="Z56" s="24"/>
      <c r="AA56" s="21"/>
      <c r="AB56" s="27"/>
      <c r="AC56" s="27"/>
      <c r="AD56" s="27"/>
      <c r="AE56" s="27"/>
      <c r="AF56" s="27"/>
      <c r="AG56" s="27"/>
      <c r="AH56" s="27"/>
    </row>
    <row r="57" spans="1:40" x14ac:dyDescent="0.4">
      <c r="A57" s="28">
        <v>46062</v>
      </c>
      <c r="B57" s="28"/>
      <c r="C57" s="29">
        <v>0.375</v>
      </c>
      <c r="D57" s="29"/>
      <c r="E57" s="29"/>
      <c r="F57" s="29">
        <v>0.79166666666666663</v>
      </c>
      <c r="G57" s="29"/>
      <c r="H57" s="29"/>
      <c r="I57" s="29">
        <f t="shared" si="0"/>
        <v>0.37499999999999994</v>
      </c>
      <c r="J57" s="29"/>
      <c r="K57" s="29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4" t="str">
        <f>IF(ISNUMBER(MATCH(A57, 設定休日!$B$3:$B$50, 0)), 1, "")</f>
        <v/>
      </c>
      <c r="Z57" s="24"/>
      <c r="AA57" s="21"/>
      <c r="AB57" s="27"/>
      <c r="AC57" s="27"/>
      <c r="AD57" s="27"/>
      <c r="AE57" s="27"/>
      <c r="AF57" s="27"/>
      <c r="AG57" s="27"/>
      <c r="AH57" s="27"/>
    </row>
    <row r="58" spans="1:40" x14ac:dyDescent="0.4">
      <c r="A58" s="28">
        <v>46063</v>
      </c>
      <c r="B58" s="28"/>
      <c r="C58" s="29">
        <v>0.375</v>
      </c>
      <c r="D58" s="29"/>
      <c r="E58" s="29"/>
      <c r="F58" s="29">
        <v>0.79166666666666663</v>
      </c>
      <c r="G58" s="29"/>
      <c r="H58" s="29"/>
      <c r="I58" s="29">
        <f t="shared" si="0"/>
        <v>0.37499999999999994</v>
      </c>
      <c r="J58" s="29"/>
      <c r="K58" s="29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4" t="str">
        <f>IF(ISNUMBER(MATCH(A58, 設定休日!$B$3:$B$50, 0)), 1, "")</f>
        <v/>
      </c>
      <c r="Z58" s="24"/>
      <c r="AA58" s="21"/>
      <c r="AB58" s="27"/>
      <c r="AC58" s="27"/>
      <c r="AD58" s="27"/>
      <c r="AE58" s="27"/>
      <c r="AF58" s="27"/>
      <c r="AG58" s="27"/>
      <c r="AH58" s="27"/>
    </row>
    <row r="59" spans="1:40" x14ac:dyDescent="0.4">
      <c r="A59" s="28">
        <v>46064</v>
      </c>
      <c r="B59" s="28"/>
      <c r="C59" s="29">
        <v>0.375</v>
      </c>
      <c r="D59" s="29"/>
      <c r="E59" s="29"/>
      <c r="F59" s="29">
        <v>0.79166666666666663</v>
      </c>
      <c r="G59" s="29"/>
      <c r="H59" s="29"/>
      <c r="I59" s="29">
        <f t="shared" si="0"/>
        <v>0.37499999999999994</v>
      </c>
      <c r="J59" s="29"/>
      <c r="K59" s="29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4" t="str">
        <f>IF(ISNUMBER(MATCH(A59, 設定休日!$B$3:$B$50, 0)), 1, "")</f>
        <v/>
      </c>
      <c r="Z59" s="24"/>
      <c r="AA59" s="21"/>
      <c r="AB59" s="27"/>
      <c r="AC59" s="27"/>
      <c r="AD59" s="27"/>
      <c r="AE59" s="27"/>
      <c r="AF59" s="27"/>
      <c r="AG59" s="27"/>
      <c r="AH59" s="27"/>
    </row>
    <row r="60" spans="1:40" x14ac:dyDescent="0.4">
      <c r="A60" s="28">
        <v>46065</v>
      </c>
      <c r="B60" s="28"/>
      <c r="C60" s="29">
        <v>0.375</v>
      </c>
      <c r="D60" s="29"/>
      <c r="E60" s="29"/>
      <c r="F60" s="29">
        <v>0.79166666666666663</v>
      </c>
      <c r="G60" s="29"/>
      <c r="H60" s="29"/>
      <c r="I60" s="29">
        <f t="shared" si="0"/>
        <v>0.37499999999999994</v>
      </c>
      <c r="J60" s="29"/>
      <c r="K60" s="29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4" t="str">
        <f>IF(ISNUMBER(MATCH(A60, 設定休日!$B$3:$B$50, 0)), 1, "")</f>
        <v/>
      </c>
      <c r="Z60" s="24"/>
      <c r="AA60" s="21"/>
      <c r="AB60" s="27"/>
      <c r="AC60" s="27"/>
      <c r="AD60" s="27"/>
      <c r="AE60" s="27"/>
      <c r="AF60" s="27"/>
      <c r="AG60" s="27"/>
      <c r="AH60" s="27"/>
    </row>
    <row r="61" spans="1:40" x14ac:dyDescent="0.4">
      <c r="A61" s="28">
        <v>46066</v>
      </c>
      <c r="B61" s="28"/>
      <c r="C61" s="29">
        <v>0.375</v>
      </c>
      <c r="D61" s="29"/>
      <c r="E61" s="29"/>
      <c r="F61" s="29">
        <v>0.79166666666666663</v>
      </c>
      <c r="G61" s="29"/>
      <c r="H61" s="29"/>
      <c r="I61" s="29">
        <f t="shared" si="0"/>
        <v>0.37499999999999994</v>
      </c>
      <c r="J61" s="29"/>
      <c r="K61" s="29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4" t="str">
        <f>IF(ISNUMBER(MATCH(A61, 設定休日!$B$3:$B$50, 0)), 1, "")</f>
        <v/>
      </c>
      <c r="Z61" s="24"/>
      <c r="AA61" s="21"/>
      <c r="AB61" s="27"/>
      <c r="AC61" s="27"/>
      <c r="AD61" s="27"/>
      <c r="AE61" s="27"/>
      <c r="AF61" s="27"/>
      <c r="AG61" s="27"/>
      <c r="AH61" s="27"/>
      <c r="AI61" s="13">
        <f>MONTH(A61)</f>
        <v>2</v>
      </c>
      <c r="AJ61" s="11" t="s">
        <v>47</v>
      </c>
      <c r="AK61" s="11" t="s">
        <v>48</v>
      </c>
      <c r="AM61" s="9" t="s">
        <v>50</v>
      </c>
      <c r="AN61" s="9" t="s">
        <v>53</v>
      </c>
    </row>
    <row r="62" spans="1:40" x14ac:dyDescent="0.4">
      <c r="A62" s="28">
        <v>46067</v>
      </c>
      <c r="B62" s="28"/>
      <c r="C62" s="29">
        <v>0.375</v>
      </c>
      <c r="D62" s="29"/>
      <c r="E62" s="29"/>
      <c r="F62" s="29">
        <v>0.79166666666666663</v>
      </c>
      <c r="G62" s="29"/>
      <c r="H62" s="29"/>
      <c r="I62" s="29">
        <f t="shared" si="0"/>
        <v>0.37499999999999994</v>
      </c>
      <c r="J62" s="29"/>
      <c r="K62" s="29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4" t="str">
        <f>IF(ISNUMBER(MATCH(A62, 設定休日!$B$3:$B$50, 0)), 1, "")</f>
        <v/>
      </c>
      <c r="Z62" s="24"/>
      <c r="AA62" s="21"/>
      <c r="AB62" s="27"/>
      <c r="AC62" s="27"/>
      <c r="AD62" s="27"/>
      <c r="AE62" s="27"/>
      <c r="AF62" s="27"/>
      <c r="AG62" s="27"/>
      <c r="AH62" s="27"/>
      <c r="AI62" s="14" t="s">
        <v>41</v>
      </c>
      <c r="AJ62" s="9">
        <f>AM62-AM63+1</f>
        <v>31</v>
      </c>
      <c r="AK62" s="9">
        <f>AJ62</f>
        <v>31</v>
      </c>
      <c r="AM62" s="9">
        <f>MATCH(DATE($A$4,AI61,20),A:A,0)</f>
        <v>68</v>
      </c>
      <c r="AN62" s="9" t="s">
        <v>51</v>
      </c>
    </row>
    <row r="63" spans="1:40" x14ac:dyDescent="0.4">
      <c r="A63" s="28">
        <v>46068</v>
      </c>
      <c r="B63" s="28"/>
      <c r="C63" s="29">
        <v>0.375</v>
      </c>
      <c r="D63" s="29"/>
      <c r="E63" s="29"/>
      <c r="F63" s="29">
        <v>0.79166666666666663</v>
      </c>
      <c r="G63" s="29"/>
      <c r="H63" s="29"/>
      <c r="I63" s="29">
        <f t="shared" si="0"/>
        <v>0.37499999999999994</v>
      </c>
      <c r="J63" s="29"/>
      <c r="K63" s="29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4" t="str">
        <f>IF(ISNUMBER(MATCH(A63, 設定休日!$B$3:$B$50, 0)), 1, "")</f>
        <v/>
      </c>
      <c r="Z63" s="24"/>
      <c r="AA63" s="21"/>
      <c r="AB63" s="27"/>
      <c r="AC63" s="27"/>
      <c r="AD63" s="27"/>
      <c r="AE63" s="27"/>
      <c r="AF63" s="27"/>
      <c r="AG63" s="27"/>
      <c r="AH63" s="27"/>
      <c r="AI63" s="9" t="s">
        <v>42</v>
      </c>
      <c r="AJ63" s="9" cm="1">
        <f t="array" aca="1" ref="AJ63" ca="1">AJ62-SUMPRODUCT(COUNTIF(INDIRECT("A"&amp;AM62&amp;":A"&amp;AM63),祝日!B3:B50))+SUMPRODUCT(COUNTIF(INDIRECT("A"&amp;AM62&amp;":A"&amp;AM63),設定休日!B3:B50))</f>
        <v>30</v>
      </c>
      <c r="AK63" s="9">
        <f ca="1">AJ63</f>
        <v>30</v>
      </c>
      <c r="AM63" s="9">
        <f>MATCH(DATE(IF(MONTH(A44)=12,$A$4-1,$A$4),MONTH(A44),21),A:A,0)</f>
        <v>38</v>
      </c>
      <c r="AN63" s="9" t="s">
        <v>52</v>
      </c>
    </row>
    <row r="64" spans="1:40" x14ac:dyDescent="0.4">
      <c r="A64" s="28">
        <v>46069</v>
      </c>
      <c r="B64" s="28"/>
      <c r="C64" s="29">
        <v>0.375</v>
      </c>
      <c r="D64" s="29"/>
      <c r="E64" s="29"/>
      <c r="F64" s="29">
        <v>0.79166666666666663</v>
      </c>
      <c r="G64" s="29"/>
      <c r="H64" s="29"/>
      <c r="I64" s="29">
        <f t="shared" si="0"/>
        <v>0.37499999999999994</v>
      </c>
      <c r="J64" s="29"/>
      <c r="K64" s="29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4" t="str">
        <f>IF(ISNUMBER(MATCH(A64, 設定休日!$B$3:$B$50, 0)), 1, "")</f>
        <v/>
      </c>
      <c r="Z64" s="24"/>
      <c r="AA64" s="21"/>
      <c r="AB64" s="27"/>
      <c r="AC64" s="27"/>
      <c r="AD64" s="27"/>
      <c r="AE64" s="27"/>
      <c r="AF64" s="27"/>
      <c r="AG64" s="27"/>
      <c r="AH64" s="27"/>
      <c r="AI64" s="9" t="s">
        <v>43</v>
      </c>
      <c r="AJ64" s="12">
        <f ca="1">AJ63*TIME(7,0,0)</f>
        <v>8.75</v>
      </c>
      <c r="AM64" s="9" t="s">
        <v>54</v>
      </c>
      <c r="AN64" s="9" t="s">
        <v>55</v>
      </c>
    </row>
    <row r="65" spans="1:40" x14ac:dyDescent="0.4">
      <c r="A65" s="28">
        <v>46070</v>
      </c>
      <c r="B65" s="28"/>
      <c r="C65" s="29">
        <v>0.375</v>
      </c>
      <c r="D65" s="29"/>
      <c r="E65" s="29"/>
      <c r="F65" s="29">
        <v>0.72916666666666663</v>
      </c>
      <c r="G65" s="29"/>
      <c r="H65" s="29"/>
      <c r="I65" s="29">
        <f t="shared" si="0"/>
        <v>0.31249999999999994</v>
      </c>
      <c r="J65" s="29"/>
      <c r="K65" s="29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4" t="str">
        <f>IF(ISNUMBER(MATCH(A65, 設定休日!$B$3:$B$50, 0)), 1, "")</f>
        <v/>
      </c>
      <c r="Z65" s="24"/>
      <c r="AA65" s="21"/>
      <c r="AB65" s="27"/>
      <c r="AC65" s="27"/>
      <c r="AD65" s="27"/>
      <c r="AE65" s="27"/>
      <c r="AF65" s="27"/>
      <c r="AG65" s="27"/>
      <c r="AH65" s="27"/>
      <c r="AI65" s="9" t="s">
        <v>44</v>
      </c>
      <c r="AJ65" s="12">
        <f ca="1">SUM(INDIRECT("I"&amp;AM62&amp;":I"&amp;AM63))</f>
        <v>10.437499999999998</v>
      </c>
      <c r="AN65" s="9" t="s">
        <v>59</v>
      </c>
    </row>
    <row r="66" spans="1:40" x14ac:dyDescent="0.4">
      <c r="A66" s="28">
        <v>46071</v>
      </c>
      <c r="B66" s="28"/>
      <c r="C66" s="29">
        <v>0.375</v>
      </c>
      <c r="D66" s="29"/>
      <c r="E66" s="29"/>
      <c r="F66" s="29">
        <v>0.72916666666666663</v>
      </c>
      <c r="G66" s="29"/>
      <c r="H66" s="29"/>
      <c r="I66" s="29">
        <f t="shared" si="0"/>
        <v>0.31249999999999994</v>
      </c>
      <c r="J66" s="29"/>
      <c r="K66" s="29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4" t="str">
        <f>IF(ISNUMBER(MATCH(A66, 設定休日!$B$3:$B$50, 0)), 1, "")</f>
        <v/>
      </c>
      <c r="Z66" s="24"/>
      <c r="AA66" s="21"/>
      <c r="AB66" s="27"/>
      <c r="AC66" s="27"/>
      <c r="AD66" s="27"/>
      <c r="AE66" s="27"/>
      <c r="AF66" s="27"/>
      <c r="AG66" s="27"/>
      <c r="AH66" s="27"/>
      <c r="AI66" s="9" t="s">
        <v>49</v>
      </c>
      <c r="AJ66" s="12">
        <f ca="1">IF(AJ65-AJ64&lt;=0,"",AJ65-AJ64)</f>
        <v>1.6874999999999982</v>
      </c>
    </row>
    <row r="67" spans="1:40" x14ac:dyDescent="0.4">
      <c r="A67" s="28">
        <v>46072</v>
      </c>
      <c r="B67" s="28"/>
      <c r="C67" s="29">
        <v>0.375</v>
      </c>
      <c r="D67" s="29"/>
      <c r="E67" s="29"/>
      <c r="F67" s="29">
        <v>0.72916666666666663</v>
      </c>
      <c r="G67" s="29"/>
      <c r="H67" s="29"/>
      <c r="I67" s="29">
        <f t="shared" si="0"/>
        <v>0.31249999999999994</v>
      </c>
      <c r="J67" s="29"/>
      <c r="K67" s="29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4" t="str">
        <f>IF(ISNUMBER(MATCH(A67, 設定休日!$B$3:$B$50, 0)), 1, "")</f>
        <v/>
      </c>
      <c r="Z67" s="24"/>
      <c r="AA67" s="21"/>
      <c r="AB67" s="27"/>
      <c r="AC67" s="27"/>
      <c r="AD67" s="27"/>
      <c r="AE67" s="27"/>
      <c r="AF67" s="27"/>
      <c r="AG67" s="27"/>
      <c r="AH67" s="27"/>
      <c r="AI67" s="9" t="s">
        <v>45</v>
      </c>
      <c r="AJ67" s="9">
        <f ca="1">COUNTA(INDIRECT("Z"&amp;AM62&amp;":Z"&amp;AM63))</f>
        <v>0</v>
      </c>
      <c r="AK67" s="9" cm="1">
        <f t="array" ref="AK67">SUMPRODUCT( --(Z38:Z413&lt;&gt;""))</f>
        <v>1</v>
      </c>
    </row>
    <row r="68" spans="1:40" ht="19.5" thickBot="1" x14ac:dyDescent="0.45">
      <c r="A68" s="34">
        <v>46073</v>
      </c>
      <c r="B68" s="34"/>
      <c r="C68" s="35">
        <v>0.375</v>
      </c>
      <c r="D68" s="35"/>
      <c r="E68" s="35"/>
      <c r="F68" s="35">
        <v>0.72916666666666663</v>
      </c>
      <c r="G68" s="35"/>
      <c r="H68" s="35"/>
      <c r="I68" s="35">
        <f t="shared" si="0"/>
        <v>0.31249999999999994</v>
      </c>
      <c r="J68" s="35"/>
      <c r="K68" s="35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25" t="str">
        <f>IF(ISNUMBER(MATCH(A68, 設定休日!$B$3:$B$50, 0)), 1, "")</f>
        <v/>
      </c>
      <c r="Z68" s="25"/>
      <c r="AA68" s="23"/>
      <c r="AB68" s="30"/>
      <c r="AC68" s="30"/>
      <c r="AD68" s="30"/>
      <c r="AE68" s="30"/>
      <c r="AF68" s="30"/>
      <c r="AG68" s="30"/>
      <c r="AH68" s="30"/>
      <c r="AI68" s="10" t="s">
        <v>46</v>
      </c>
      <c r="AJ68" s="10">
        <f ca="1">SUM(INDIRECT("AA"&amp;AM62&amp;":AA"&amp;AM63))</f>
        <v>0</v>
      </c>
      <c r="AK68" s="10">
        <f>SUM(AA38:AA413)</f>
        <v>0</v>
      </c>
      <c r="AL68" s="10"/>
      <c r="AM68" s="10"/>
    </row>
    <row r="69" spans="1:40" x14ac:dyDescent="0.4">
      <c r="A69" s="31">
        <v>46074</v>
      </c>
      <c r="B69" s="31"/>
      <c r="C69" s="33">
        <v>0.375</v>
      </c>
      <c r="D69" s="33"/>
      <c r="E69" s="33"/>
      <c r="F69" s="33">
        <v>0.72916666666666663</v>
      </c>
      <c r="G69" s="33"/>
      <c r="H69" s="33"/>
      <c r="I69" s="33">
        <f t="shared" si="0"/>
        <v>0.31249999999999994</v>
      </c>
      <c r="J69" s="33"/>
      <c r="K69" s="33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26" t="str">
        <f>IF(ISNUMBER(MATCH(A69, 設定休日!$B$3:$B$50, 0)), 1, "")</f>
        <v/>
      </c>
      <c r="Z69" s="26"/>
      <c r="AA69" s="22"/>
      <c r="AB69" s="32"/>
      <c r="AC69" s="32"/>
      <c r="AD69" s="32"/>
      <c r="AE69" s="32"/>
      <c r="AF69" s="32"/>
      <c r="AG69" s="32"/>
      <c r="AH69" s="32"/>
    </row>
    <row r="70" spans="1:40" x14ac:dyDescent="0.4">
      <c r="A70" s="28">
        <v>46075</v>
      </c>
      <c r="B70" s="28"/>
      <c r="C70" s="29">
        <v>0.375</v>
      </c>
      <c r="D70" s="29"/>
      <c r="E70" s="29"/>
      <c r="F70" s="29">
        <v>0.72916666666666663</v>
      </c>
      <c r="G70" s="29"/>
      <c r="H70" s="29"/>
      <c r="I70" s="29">
        <f t="shared" si="0"/>
        <v>0.31249999999999994</v>
      </c>
      <c r="J70" s="29"/>
      <c r="K70" s="29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4" t="str">
        <f>IF(ISNUMBER(MATCH(A70, 設定休日!$B$3:$B$50, 0)), 1, "")</f>
        <v/>
      </c>
      <c r="Z70" s="24"/>
      <c r="AA70" s="21"/>
      <c r="AB70" s="27"/>
      <c r="AC70" s="27"/>
      <c r="AD70" s="27"/>
      <c r="AE70" s="27"/>
      <c r="AF70" s="27"/>
      <c r="AG70" s="27"/>
      <c r="AH70" s="27"/>
    </row>
    <row r="71" spans="1:40" x14ac:dyDescent="0.4">
      <c r="A71" s="28">
        <v>46076</v>
      </c>
      <c r="B71" s="28"/>
      <c r="C71" s="29">
        <v>0.375</v>
      </c>
      <c r="D71" s="29"/>
      <c r="E71" s="29"/>
      <c r="F71" s="29">
        <v>0.72916666666666663</v>
      </c>
      <c r="G71" s="29"/>
      <c r="H71" s="29"/>
      <c r="I71" s="29">
        <f t="shared" si="0"/>
        <v>0.31249999999999994</v>
      </c>
      <c r="J71" s="29"/>
      <c r="K71" s="29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4" t="str">
        <f>IF(ISNUMBER(MATCH(A71, 設定休日!$B$3:$B$50, 0)), 1, "")</f>
        <v/>
      </c>
      <c r="Z71" s="24"/>
      <c r="AA71" s="21"/>
      <c r="AB71" s="27"/>
      <c r="AC71" s="27"/>
      <c r="AD71" s="27"/>
      <c r="AE71" s="27"/>
      <c r="AF71" s="27"/>
      <c r="AG71" s="27"/>
      <c r="AH71" s="27"/>
    </row>
    <row r="72" spans="1:40" x14ac:dyDescent="0.4">
      <c r="A72" s="28">
        <v>46077</v>
      </c>
      <c r="B72" s="28"/>
      <c r="C72" s="29">
        <v>0.375</v>
      </c>
      <c r="D72" s="29"/>
      <c r="E72" s="29"/>
      <c r="F72" s="29">
        <v>0.72916666666666663</v>
      </c>
      <c r="G72" s="29"/>
      <c r="H72" s="29"/>
      <c r="I72" s="29">
        <f t="shared" ref="I72:I135" si="1">IF(F72="","",F72-C72-TIME(1,0,0))</f>
        <v>0.31249999999999994</v>
      </c>
      <c r="J72" s="29"/>
      <c r="K72" s="29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4" t="str">
        <f>IF(ISNUMBER(MATCH(A72, 設定休日!$B$3:$B$50, 0)), 1, "")</f>
        <v/>
      </c>
      <c r="Z72" s="24"/>
      <c r="AA72" s="21"/>
      <c r="AB72" s="27"/>
      <c r="AC72" s="27"/>
      <c r="AD72" s="27"/>
      <c r="AE72" s="27"/>
      <c r="AF72" s="27"/>
      <c r="AG72" s="27"/>
      <c r="AH72" s="27"/>
    </row>
    <row r="73" spans="1:40" x14ac:dyDescent="0.4">
      <c r="A73" s="28">
        <v>46078</v>
      </c>
      <c r="B73" s="28"/>
      <c r="C73" s="29">
        <v>0.375</v>
      </c>
      <c r="D73" s="29"/>
      <c r="E73" s="29"/>
      <c r="F73" s="29">
        <v>0.72916666666666663</v>
      </c>
      <c r="G73" s="29"/>
      <c r="H73" s="29"/>
      <c r="I73" s="29">
        <f t="shared" si="1"/>
        <v>0.31249999999999994</v>
      </c>
      <c r="J73" s="29"/>
      <c r="K73" s="29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4" t="str">
        <f>IF(ISNUMBER(MATCH(A73, 設定休日!$B$3:$B$50, 0)), 1, "")</f>
        <v/>
      </c>
      <c r="Z73" s="24"/>
      <c r="AA73" s="21"/>
      <c r="AB73" s="27"/>
      <c r="AC73" s="27"/>
      <c r="AD73" s="27"/>
      <c r="AE73" s="27"/>
      <c r="AF73" s="27"/>
      <c r="AG73" s="27"/>
      <c r="AH73" s="27"/>
    </row>
    <row r="74" spans="1:40" x14ac:dyDescent="0.4">
      <c r="A74" s="28">
        <v>46079</v>
      </c>
      <c r="B74" s="28"/>
      <c r="C74" s="29">
        <v>0.375</v>
      </c>
      <c r="D74" s="29"/>
      <c r="E74" s="29"/>
      <c r="F74" s="29">
        <v>0.79166666666666663</v>
      </c>
      <c r="G74" s="29"/>
      <c r="H74" s="29"/>
      <c r="I74" s="29">
        <f t="shared" si="1"/>
        <v>0.37499999999999994</v>
      </c>
      <c r="J74" s="29"/>
      <c r="K74" s="29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4" t="str">
        <f>IF(ISNUMBER(MATCH(A74, 設定休日!$B$3:$B$50, 0)), 1, "")</f>
        <v/>
      </c>
      <c r="Z74" s="24"/>
      <c r="AA74" s="21"/>
      <c r="AB74" s="27"/>
      <c r="AC74" s="27"/>
      <c r="AD74" s="27"/>
      <c r="AE74" s="27"/>
      <c r="AF74" s="27"/>
      <c r="AG74" s="27"/>
      <c r="AH74" s="27"/>
    </row>
    <row r="75" spans="1:40" x14ac:dyDescent="0.4">
      <c r="A75" s="28">
        <v>46080</v>
      </c>
      <c r="B75" s="28"/>
      <c r="C75" s="29">
        <v>0.375</v>
      </c>
      <c r="D75" s="29"/>
      <c r="E75" s="29"/>
      <c r="F75" s="29">
        <v>0.72916666666666663</v>
      </c>
      <c r="G75" s="29"/>
      <c r="H75" s="29"/>
      <c r="I75" s="29">
        <f t="shared" si="1"/>
        <v>0.31249999999999994</v>
      </c>
      <c r="J75" s="29"/>
      <c r="K75" s="29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4" t="str">
        <f>IF(ISNUMBER(MATCH(A75, 設定休日!$B$3:$B$50, 0)), 1, "")</f>
        <v/>
      </c>
      <c r="Z75" s="24"/>
      <c r="AA75" s="21"/>
      <c r="AB75" s="27"/>
      <c r="AC75" s="27"/>
      <c r="AD75" s="27"/>
      <c r="AE75" s="27"/>
      <c r="AF75" s="27"/>
      <c r="AG75" s="27"/>
      <c r="AH75" s="27"/>
    </row>
    <row r="76" spans="1:40" x14ac:dyDescent="0.4">
      <c r="A76" s="28">
        <v>46081</v>
      </c>
      <c r="B76" s="28"/>
      <c r="C76" s="29">
        <v>0.375</v>
      </c>
      <c r="D76" s="29"/>
      <c r="E76" s="29"/>
      <c r="F76" s="29">
        <v>0.72916666666666663</v>
      </c>
      <c r="G76" s="29"/>
      <c r="H76" s="29"/>
      <c r="I76" s="29">
        <f t="shared" si="1"/>
        <v>0.31249999999999994</v>
      </c>
      <c r="J76" s="29"/>
      <c r="K76" s="29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4" t="str">
        <f>IF(ISNUMBER(MATCH(A76, 設定休日!$B$3:$B$50, 0)), 1, "")</f>
        <v/>
      </c>
      <c r="Z76" s="24"/>
      <c r="AA76" s="21"/>
      <c r="AB76" s="27"/>
      <c r="AC76" s="27"/>
      <c r="AD76" s="27"/>
      <c r="AE76" s="27"/>
      <c r="AF76" s="27"/>
      <c r="AG76" s="27"/>
      <c r="AH76" s="27"/>
    </row>
    <row r="77" spans="1:40" x14ac:dyDescent="0.4">
      <c r="A77" s="28">
        <v>46082</v>
      </c>
      <c r="B77" s="28"/>
      <c r="C77" s="29">
        <v>0.375</v>
      </c>
      <c r="D77" s="29"/>
      <c r="E77" s="29"/>
      <c r="F77" s="29">
        <v>0.72916666666666663</v>
      </c>
      <c r="G77" s="29"/>
      <c r="H77" s="29"/>
      <c r="I77" s="29">
        <f t="shared" si="1"/>
        <v>0.31249999999999994</v>
      </c>
      <c r="J77" s="29"/>
      <c r="K77" s="29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4" t="str">
        <f>IF(ISNUMBER(MATCH(A77, 設定休日!$B$3:$B$50, 0)), 1, "")</f>
        <v/>
      </c>
      <c r="Z77" s="24"/>
      <c r="AA77" s="21"/>
      <c r="AB77" s="27"/>
      <c r="AC77" s="27"/>
      <c r="AD77" s="27"/>
      <c r="AE77" s="27"/>
      <c r="AF77" s="27"/>
      <c r="AG77" s="27"/>
      <c r="AH77" s="27"/>
    </row>
    <row r="78" spans="1:40" x14ac:dyDescent="0.4">
      <c r="A78" s="28">
        <v>46083</v>
      </c>
      <c r="B78" s="28"/>
      <c r="C78" s="29">
        <v>0.375</v>
      </c>
      <c r="D78" s="29"/>
      <c r="E78" s="29"/>
      <c r="F78" s="29">
        <v>0.72916666666666663</v>
      </c>
      <c r="G78" s="29"/>
      <c r="H78" s="29"/>
      <c r="I78" s="29">
        <f t="shared" si="1"/>
        <v>0.31249999999999994</v>
      </c>
      <c r="J78" s="29"/>
      <c r="K78" s="29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4" t="str">
        <f>IF(ISNUMBER(MATCH(A78, 設定休日!$B$3:$B$50, 0)), 1, "")</f>
        <v/>
      </c>
      <c r="Z78" s="24"/>
      <c r="AA78" s="21"/>
      <c r="AB78" s="27"/>
      <c r="AC78" s="27"/>
      <c r="AD78" s="27"/>
      <c r="AE78" s="27"/>
      <c r="AF78" s="27"/>
      <c r="AG78" s="27"/>
      <c r="AH78" s="27"/>
    </row>
    <row r="79" spans="1:40" x14ac:dyDescent="0.4">
      <c r="A79" s="28">
        <v>46084</v>
      </c>
      <c r="B79" s="28"/>
      <c r="C79" s="29">
        <v>0.375</v>
      </c>
      <c r="D79" s="29"/>
      <c r="E79" s="29"/>
      <c r="F79" s="29">
        <v>0.72916666666666663</v>
      </c>
      <c r="G79" s="29"/>
      <c r="H79" s="29"/>
      <c r="I79" s="29">
        <f t="shared" si="1"/>
        <v>0.31249999999999994</v>
      </c>
      <c r="J79" s="29"/>
      <c r="K79" s="29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4" t="str">
        <f>IF(ISNUMBER(MATCH(A79, 設定休日!$B$3:$B$50, 0)), 1, "")</f>
        <v/>
      </c>
      <c r="Z79" s="24"/>
      <c r="AA79" s="21"/>
      <c r="AB79" s="27"/>
      <c r="AC79" s="27"/>
      <c r="AD79" s="27"/>
      <c r="AE79" s="27"/>
      <c r="AF79" s="27"/>
      <c r="AG79" s="27"/>
      <c r="AH79" s="27"/>
    </row>
    <row r="80" spans="1:40" x14ac:dyDescent="0.4">
      <c r="A80" s="28">
        <v>46085</v>
      </c>
      <c r="B80" s="28"/>
      <c r="C80" s="29">
        <v>0.375</v>
      </c>
      <c r="D80" s="29"/>
      <c r="E80" s="29"/>
      <c r="F80" s="29">
        <v>0.79166666666666663</v>
      </c>
      <c r="G80" s="29"/>
      <c r="H80" s="29"/>
      <c r="I80" s="29">
        <f t="shared" si="1"/>
        <v>0.37499999999999994</v>
      </c>
      <c r="J80" s="29"/>
      <c r="K80" s="29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4" t="str">
        <f>IF(ISNUMBER(MATCH(A80, 設定休日!$B$3:$B$50, 0)), 1, "")</f>
        <v/>
      </c>
      <c r="Z80" s="24"/>
      <c r="AA80" s="21"/>
      <c r="AB80" s="27"/>
      <c r="AC80" s="27"/>
      <c r="AD80" s="27"/>
      <c r="AE80" s="27"/>
      <c r="AF80" s="27"/>
      <c r="AG80" s="27"/>
      <c r="AH80" s="27"/>
    </row>
    <row r="81" spans="1:40" x14ac:dyDescent="0.4">
      <c r="A81" s="28">
        <v>46086</v>
      </c>
      <c r="B81" s="28"/>
      <c r="C81" s="29">
        <v>0.375</v>
      </c>
      <c r="D81" s="29"/>
      <c r="E81" s="29"/>
      <c r="F81" s="29">
        <v>0.79166666666666663</v>
      </c>
      <c r="G81" s="29"/>
      <c r="H81" s="29"/>
      <c r="I81" s="29">
        <f t="shared" si="1"/>
        <v>0.37499999999999994</v>
      </c>
      <c r="J81" s="29"/>
      <c r="K81" s="29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4" t="str">
        <f>IF(ISNUMBER(MATCH(A81, 設定休日!$B$3:$B$50, 0)), 1, "")</f>
        <v/>
      </c>
      <c r="Z81" s="24"/>
      <c r="AA81" s="21"/>
      <c r="AB81" s="27"/>
      <c r="AC81" s="27"/>
      <c r="AD81" s="27"/>
      <c r="AE81" s="27"/>
      <c r="AF81" s="27"/>
      <c r="AG81" s="27"/>
      <c r="AH81" s="27"/>
    </row>
    <row r="82" spans="1:40" x14ac:dyDescent="0.4">
      <c r="A82" s="28">
        <v>46087</v>
      </c>
      <c r="B82" s="28"/>
      <c r="C82" s="29">
        <v>0.375</v>
      </c>
      <c r="D82" s="29"/>
      <c r="E82" s="29"/>
      <c r="F82" s="29">
        <v>0.72916666666666663</v>
      </c>
      <c r="G82" s="29"/>
      <c r="H82" s="29"/>
      <c r="I82" s="29">
        <f t="shared" si="1"/>
        <v>0.31249999999999994</v>
      </c>
      <c r="J82" s="29"/>
      <c r="K82" s="29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4" t="str">
        <f>IF(ISNUMBER(MATCH(A82, 設定休日!$B$3:$B$50, 0)), 1, "")</f>
        <v/>
      </c>
      <c r="Z82" s="24"/>
      <c r="AA82" s="21"/>
      <c r="AB82" s="27"/>
      <c r="AC82" s="27"/>
      <c r="AD82" s="27"/>
      <c r="AE82" s="27"/>
      <c r="AF82" s="27"/>
      <c r="AG82" s="27"/>
      <c r="AH82" s="27"/>
    </row>
    <row r="83" spans="1:40" x14ac:dyDescent="0.4">
      <c r="A83" s="28">
        <v>46088</v>
      </c>
      <c r="B83" s="28"/>
      <c r="C83" s="29">
        <v>0.375</v>
      </c>
      <c r="D83" s="29"/>
      <c r="E83" s="29"/>
      <c r="F83" s="29">
        <v>0.72916666666666663</v>
      </c>
      <c r="G83" s="29"/>
      <c r="H83" s="29"/>
      <c r="I83" s="29">
        <f t="shared" si="1"/>
        <v>0.31249999999999994</v>
      </c>
      <c r="J83" s="29"/>
      <c r="K83" s="29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4" t="str">
        <f>IF(ISNUMBER(MATCH(A83, 設定休日!$B$3:$B$50, 0)), 1, "")</f>
        <v/>
      </c>
      <c r="Z83" s="24"/>
      <c r="AA83" s="21"/>
      <c r="AB83" s="27"/>
      <c r="AC83" s="27"/>
      <c r="AD83" s="27"/>
      <c r="AE83" s="27"/>
      <c r="AF83" s="27"/>
      <c r="AG83" s="27"/>
      <c r="AH83" s="27"/>
    </row>
    <row r="84" spans="1:40" x14ac:dyDescent="0.4">
      <c r="A84" s="28">
        <v>46089</v>
      </c>
      <c r="B84" s="28"/>
      <c r="C84" s="29">
        <v>0.375</v>
      </c>
      <c r="D84" s="29"/>
      <c r="E84" s="29"/>
      <c r="F84" s="29">
        <v>0.72916666666666663</v>
      </c>
      <c r="G84" s="29"/>
      <c r="H84" s="29"/>
      <c r="I84" s="29">
        <f t="shared" si="1"/>
        <v>0.31249999999999994</v>
      </c>
      <c r="J84" s="29"/>
      <c r="K84" s="29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4" t="str">
        <f>IF(ISNUMBER(MATCH(A84, 設定休日!$B$3:$B$50, 0)), 1, "")</f>
        <v/>
      </c>
      <c r="Z84" s="24"/>
      <c r="AA84" s="21"/>
      <c r="AB84" s="27"/>
      <c r="AC84" s="27"/>
      <c r="AD84" s="27"/>
      <c r="AE84" s="27"/>
      <c r="AF84" s="27"/>
      <c r="AG84" s="27"/>
      <c r="AH84" s="27"/>
    </row>
    <row r="85" spans="1:40" x14ac:dyDescent="0.4">
      <c r="A85" s="28">
        <v>46090</v>
      </c>
      <c r="B85" s="28"/>
      <c r="C85" s="29">
        <v>0.375</v>
      </c>
      <c r="D85" s="29"/>
      <c r="E85" s="29"/>
      <c r="F85" s="29">
        <v>0.72916666666666663</v>
      </c>
      <c r="G85" s="29"/>
      <c r="H85" s="29"/>
      <c r="I85" s="29">
        <f t="shared" si="1"/>
        <v>0.31249999999999994</v>
      </c>
      <c r="J85" s="29"/>
      <c r="K85" s="29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4" t="str">
        <f>IF(ISNUMBER(MATCH(A85, 設定休日!$B$3:$B$50, 0)), 1, "")</f>
        <v/>
      </c>
      <c r="Z85" s="24"/>
      <c r="AA85" s="21"/>
      <c r="AB85" s="27"/>
      <c r="AC85" s="27"/>
      <c r="AD85" s="27"/>
      <c r="AE85" s="27"/>
      <c r="AF85" s="27"/>
      <c r="AG85" s="27"/>
      <c r="AH85" s="27"/>
    </row>
    <row r="86" spans="1:40" x14ac:dyDescent="0.4">
      <c r="A86" s="28">
        <v>46091</v>
      </c>
      <c r="B86" s="28"/>
      <c r="C86" s="29">
        <v>0.375</v>
      </c>
      <c r="D86" s="29"/>
      <c r="E86" s="29"/>
      <c r="F86" s="29">
        <v>0.72916666666666663</v>
      </c>
      <c r="G86" s="29"/>
      <c r="H86" s="29"/>
      <c r="I86" s="29">
        <f t="shared" si="1"/>
        <v>0.31249999999999994</v>
      </c>
      <c r="J86" s="29"/>
      <c r="K86" s="29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4" t="str">
        <f>IF(ISNUMBER(MATCH(A86, 設定休日!$B$3:$B$50, 0)), 1, "")</f>
        <v/>
      </c>
      <c r="Z86" s="24"/>
      <c r="AA86" s="21"/>
      <c r="AB86" s="27"/>
      <c r="AC86" s="27"/>
      <c r="AD86" s="27"/>
      <c r="AE86" s="27"/>
      <c r="AF86" s="27"/>
      <c r="AG86" s="27"/>
      <c r="AH86" s="27"/>
    </row>
    <row r="87" spans="1:40" x14ac:dyDescent="0.4">
      <c r="A87" s="28">
        <v>46092</v>
      </c>
      <c r="B87" s="28"/>
      <c r="C87" s="29">
        <v>0.375</v>
      </c>
      <c r="D87" s="29"/>
      <c r="E87" s="29"/>
      <c r="F87" s="29">
        <v>0.79166666666666663</v>
      </c>
      <c r="G87" s="29"/>
      <c r="H87" s="29"/>
      <c r="I87" s="29">
        <f t="shared" si="1"/>
        <v>0.37499999999999994</v>
      </c>
      <c r="J87" s="29"/>
      <c r="K87" s="29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4" t="str">
        <f>IF(ISNUMBER(MATCH(A87, 設定休日!$B$3:$B$50, 0)), 1, "")</f>
        <v/>
      </c>
      <c r="Z87" s="24"/>
      <c r="AA87" s="21"/>
      <c r="AB87" s="27"/>
      <c r="AC87" s="27"/>
      <c r="AD87" s="27"/>
      <c r="AE87" s="27"/>
      <c r="AF87" s="27"/>
      <c r="AG87" s="27"/>
      <c r="AH87" s="27"/>
    </row>
    <row r="88" spans="1:40" x14ac:dyDescent="0.4">
      <c r="A88" s="28">
        <v>46093</v>
      </c>
      <c r="B88" s="28"/>
      <c r="C88" s="29">
        <v>0.375</v>
      </c>
      <c r="D88" s="29"/>
      <c r="E88" s="29"/>
      <c r="F88" s="29">
        <v>0.79166666666666663</v>
      </c>
      <c r="G88" s="29"/>
      <c r="H88" s="29"/>
      <c r="I88" s="29">
        <f t="shared" si="1"/>
        <v>0.37499999999999994</v>
      </c>
      <c r="J88" s="29"/>
      <c r="K88" s="29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4" t="str">
        <f>IF(ISNUMBER(MATCH(A88, 設定休日!$B$3:$B$50, 0)), 1, "")</f>
        <v/>
      </c>
      <c r="Z88" s="24"/>
      <c r="AA88" s="21"/>
      <c r="AB88" s="27"/>
      <c r="AC88" s="27"/>
      <c r="AD88" s="27"/>
      <c r="AE88" s="27"/>
      <c r="AF88" s="27"/>
      <c r="AG88" s="27"/>
      <c r="AH88" s="27"/>
    </row>
    <row r="89" spans="1:40" x14ac:dyDescent="0.4">
      <c r="A89" s="28">
        <v>46094</v>
      </c>
      <c r="B89" s="28"/>
      <c r="C89" s="29">
        <v>0.375</v>
      </c>
      <c r="D89" s="29"/>
      <c r="E89" s="29"/>
      <c r="F89" s="29">
        <v>0.79166666666666663</v>
      </c>
      <c r="G89" s="29"/>
      <c r="H89" s="29"/>
      <c r="I89" s="29">
        <f t="shared" si="1"/>
        <v>0.37499999999999994</v>
      </c>
      <c r="J89" s="29"/>
      <c r="K89" s="29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4">
        <f>IF(ISNUMBER(MATCH(A89, 設定休日!$B$3:$B$50, 0)), 1, "")</f>
        <v>1</v>
      </c>
      <c r="Z89" s="24"/>
      <c r="AA89" s="21"/>
      <c r="AB89" s="27"/>
      <c r="AC89" s="27"/>
      <c r="AD89" s="27"/>
      <c r="AE89" s="27"/>
      <c r="AF89" s="27"/>
      <c r="AG89" s="27"/>
      <c r="AH89" s="27"/>
      <c r="AI89" s="13">
        <f>MONTH(A89)</f>
        <v>3</v>
      </c>
      <c r="AJ89" s="11" t="s">
        <v>47</v>
      </c>
      <c r="AK89" s="11" t="s">
        <v>48</v>
      </c>
      <c r="AM89" s="9" t="s">
        <v>50</v>
      </c>
      <c r="AN89" s="9" t="s">
        <v>53</v>
      </c>
    </row>
    <row r="90" spans="1:40" x14ac:dyDescent="0.4">
      <c r="A90" s="28">
        <v>46095</v>
      </c>
      <c r="B90" s="28"/>
      <c r="C90" s="29">
        <v>0.375</v>
      </c>
      <c r="D90" s="29"/>
      <c r="E90" s="29"/>
      <c r="F90" s="29">
        <v>0.79166666666666663</v>
      </c>
      <c r="G90" s="29"/>
      <c r="H90" s="29"/>
      <c r="I90" s="29">
        <f t="shared" si="1"/>
        <v>0.37499999999999994</v>
      </c>
      <c r="J90" s="29"/>
      <c r="K90" s="29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4" t="str">
        <f>IF(ISNUMBER(MATCH(A90, 設定休日!$B$3:$B$50, 0)), 1, "")</f>
        <v/>
      </c>
      <c r="Z90" s="24"/>
      <c r="AA90" s="21"/>
      <c r="AB90" s="27"/>
      <c r="AC90" s="27"/>
      <c r="AD90" s="27"/>
      <c r="AE90" s="27"/>
      <c r="AF90" s="27"/>
      <c r="AG90" s="27"/>
      <c r="AH90" s="27"/>
      <c r="AI90" s="14" t="s">
        <v>41</v>
      </c>
      <c r="AJ90" s="9">
        <f>AM90-AM91+1</f>
        <v>28</v>
      </c>
      <c r="AK90" s="9">
        <f>AJ90</f>
        <v>28</v>
      </c>
      <c r="AM90" s="9">
        <f>MATCH(DATE($A$4,AI89,20),A:A,0)</f>
        <v>96</v>
      </c>
      <c r="AN90" s="9" t="s">
        <v>51</v>
      </c>
    </row>
    <row r="91" spans="1:40" x14ac:dyDescent="0.4">
      <c r="A91" s="28">
        <v>46096</v>
      </c>
      <c r="B91" s="28"/>
      <c r="C91" s="29">
        <v>0.375</v>
      </c>
      <c r="D91" s="29"/>
      <c r="E91" s="29"/>
      <c r="F91" s="29">
        <v>0.79166666666666663</v>
      </c>
      <c r="G91" s="29"/>
      <c r="H91" s="29"/>
      <c r="I91" s="29">
        <f t="shared" si="1"/>
        <v>0.37499999999999994</v>
      </c>
      <c r="J91" s="29"/>
      <c r="K91" s="29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4" t="str">
        <f>IF(ISNUMBER(MATCH(A91, 設定休日!$B$3:$B$50, 0)), 1, "")</f>
        <v/>
      </c>
      <c r="Z91" s="24"/>
      <c r="AA91" s="21"/>
      <c r="AB91" s="27"/>
      <c r="AC91" s="27"/>
      <c r="AD91" s="27"/>
      <c r="AE91" s="27"/>
      <c r="AF91" s="27"/>
      <c r="AG91" s="27"/>
      <c r="AH91" s="27"/>
      <c r="AI91" s="9" t="s">
        <v>42</v>
      </c>
      <c r="AJ91" s="9" cm="1">
        <f t="array" aca="1" ref="AJ91" ca="1">AJ90-SUMPRODUCT(COUNTIF(INDIRECT("A"&amp;AM90&amp;":A"&amp;AM91),祝日!B31:B78))+SUMPRODUCT(COUNTIF(INDIRECT("A"&amp;AM90&amp;":A"&amp;AM91),設定休日!B31:B78))</f>
        <v>28</v>
      </c>
      <c r="AK91" s="9">
        <f ca="1">AJ91</f>
        <v>28</v>
      </c>
      <c r="AM91" s="9">
        <f>MATCH(DATE(IF(MONTH(A72)=12,$A$4-1,$A$4),MONTH(A72),21),A:A,0)</f>
        <v>69</v>
      </c>
      <c r="AN91" s="9" t="s">
        <v>52</v>
      </c>
    </row>
    <row r="92" spans="1:40" x14ac:dyDescent="0.4">
      <c r="A92" s="28">
        <v>46097</v>
      </c>
      <c r="B92" s="28"/>
      <c r="C92" s="29">
        <v>0.375</v>
      </c>
      <c r="D92" s="29"/>
      <c r="E92" s="29"/>
      <c r="F92" s="29">
        <v>0.79166666666666663</v>
      </c>
      <c r="G92" s="29"/>
      <c r="H92" s="29"/>
      <c r="I92" s="29">
        <f t="shared" si="1"/>
        <v>0.37499999999999994</v>
      </c>
      <c r="J92" s="29"/>
      <c r="K92" s="29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4" t="str">
        <f>IF(ISNUMBER(MATCH(A92, 設定休日!$B$3:$B$50, 0)), 1, "")</f>
        <v/>
      </c>
      <c r="Z92" s="24"/>
      <c r="AA92" s="21"/>
      <c r="AB92" s="27"/>
      <c r="AC92" s="27"/>
      <c r="AD92" s="27"/>
      <c r="AE92" s="27"/>
      <c r="AF92" s="27"/>
      <c r="AG92" s="27"/>
      <c r="AH92" s="27"/>
      <c r="AI92" s="9" t="s">
        <v>43</v>
      </c>
      <c r="AJ92" s="12">
        <f ca="1">AJ91*TIME(7,0,0)</f>
        <v>8.1666666666666679</v>
      </c>
      <c r="AM92" s="9" t="s">
        <v>54</v>
      </c>
      <c r="AN92" s="9" t="s">
        <v>55</v>
      </c>
    </row>
    <row r="93" spans="1:40" x14ac:dyDescent="0.4">
      <c r="A93" s="28">
        <v>46098</v>
      </c>
      <c r="B93" s="28"/>
      <c r="C93" s="29">
        <v>0.375</v>
      </c>
      <c r="D93" s="29"/>
      <c r="E93" s="29"/>
      <c r="F93" s="29">
        <v>0.79166666666666663</v>
      </c>
      <c r="G93" s="29"/>
      <c r="H93" s="29"/>
      <c r="I93" s="29">
        <f t="shared" si="1"/>
        <v>0.37499999999999994</v>
      </c>
      <c r="J93" s="29"/>
      <c r="K93" s="29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4" t="str">
        <f>IF(ISNUMBER(MATCH(A93, 設定休日!$B$3:$B$50, 0)), 1, "")</f>
        <v/>
      </c>
      <c r="Z93" s="24"/>
      <c r="AA93" s="21"/>
      <c r="AB93" s="27"/>
      <c r="AC93" s="27"/>
      <c r="AD93" s="27"/>
      <c r="AE93" s="27"/>
      <c r="AF93" s="27"/>
      <c r="AG93" s="27"/>
      <c r="AH93" s="27"/>
      <c r="AI93" s="9" t="s">
        <v>44</v>
      </c>
      <c r="AJ93" s="12">
        <f ca="1">SUM(INDIRECT("I"&amp;AM90&amp;":I"&amp;AM91))</f>
        <v>9.4999999999999982</v>
      </c>
      <c r="AN93" s="9" t="s">
        <v>59</v>
      </c>
    </row>
    <row r="94" spans="1:40" x14ac:dyDescent="0.4">
      <c r="A94" s="28">
        <v>46099</v>
      </c>
      <c r="B94" s="28"/>
      <c r="C94" s="29">
        <v>0.375</v>
      </c>
      <c r="D94" s="29"/>
      <c r="E94" s="29"/>
      <c r="F94" s="29">
        <v>0.79166666666666663</v>
      </c>
      <c r="G94" s="29"/>
      <c r="H94" s="29"/>
      <c r="I94" s="29">
        <f t="shared" si="1"/>
        <v>0.37499999999999994</v>
      </c>
      <c r="J94" s="29"/>
      <c r="K94" s="29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4" t="str">
        <f>IF(ISNUMBER(MATCH(A94, 設定休日!$B$3:$B$50, 0)), 1, "")</f>
        <v/>
      </c>
      <c r="Z94" s="24"/>
      <c r="AA94" s="21"/>
      <c r="AB94" s="27"/>
      <c r="AC94" s="27"/>
      <c r="AD94" s="27"/>
      <c r="AE94" s="27"/>
      <c r="AF94" s="27"/>
      <c r="AG94" s="27"/>
      <c r="AH94" s="27"/>
      <c r="AI94" s="9" t="s">
        <v>49</v>
      </c>
      <c r="AJ94" s="12">
        <f ca="1">IF(AJ93-AJ92&lt;=0,"",AJ93-AJ92)</f>
        <v>1.3333333333333304</v>
      </c>
    </row>
    <row r="95" spans="1:40" x14ac:dyDescent="0.4">
      <c r="A95" s="28">
        <v>46100</v>
      </c>
      <c r="B95" s="28"/>
      <c r="C95" s="29">
        <v>0.375</v>
      </c>
      <c r="D95" s="29"/>
      <c r="E95" s="29"/>
      <c r="F95" s="29">
        <v>0.79166666666666663</v>
      </c>
      <c r="G95" s="29"/>
      <c r="H95" s="29"/>
      <c r="I95" s="29">
        <f t="shared" si="1"/>
        <v>0.37499999999999994</v>
      </c>
      <c r="J95" s="29"/>
      <c r="K95" s="29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4" t="str">
        <f>IF(ISNUMBER(MATCH(A95, 設定休日!$B$3:$B$50, 0)), 1, "")</f>
        <v/>
      </c>
      <c r="Z95" s="24"/>
      <c r="AA95" s="21"/>
      <c r="AB95" s="27"/>
      <c r="AC95" s="27"/>
      <c r="AD95" s="27"/>
      <c r="AE95" s="27"/>
      <c r="AF95" s="27"/>
      <c r="AG95" s="27"/>
      <c r="AH95" s="27"/>
      <c r="AI95" s="9" t="s">
        <v>45</v>
      </c>
      <c r="AJ95" s="9">
        <f ca="1">COUNTA(INDIRECT("Z"&amp;AM90&amp;":Z"&amp;AM91))</f>
        <v>0</v>
      </c>
      <c r="AK95" s="9" cm="1">
        <f t="array" ref="AK95">SUMPRODUCT( --(Z66:Z441&lt;&gt;""))</f>
        <v>1</v>
      </c>
    </row>
    <row r="96" spans="1:40" ht="19.5" thickBot="1" x14ac:dyDescent="0.45">
      <c r="A96" s="34">
        <v>46101</v>
      </c>
      <c r="B96" s="34"/>
      <c r="C96" s="35">
        <v>0.375</v>
      </c>
      <c r="D96" s="35"/>
      <c r="E96" s="35"/>
      <c r="F96" s="35">
        <v>0.72916666666666663</v>
      </c>
      <c r="G96" s="35"/>
      <c r="H96" s="35"/>
      <c r="I96" s="35">
        <f t="shared" si="1"/>
        <v>0.31249999999999994</v>
      </c>
      <c r="J96" s="35"/>
      <c r="K96" s="35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25" t="str">
        <f>IF(ISNUMBER(MATCH(A96, 設定休日!$B$3:$B$50, 0)), 1, "")</f>
        <v/>
      </c>
      <c r="Z96" s="25"/>
      <c r="AA96" s="23"/>
      <c r="AB96" s="30"/>
      <c r="AC96" s="30"/>
      <c r="AD96" s="30"/>
      <c r="AE96" s="30"/>
      <c r="AF96" s="30"/>
      <c r="AG96" s="30"/>
      <c r="AH96" s="30"/>
      <c r="AI96" s="10" t="s">
        <v>46</v>
      </c>
      <c r="AJ96" s="10">
        <f ca="1">SUM(INDIRECT("AA"&amp;AM90&amp;":AA"&amp;AM91))</f>
        <v>0</v>
      </c>
      <c r="AK96" s="10">
        <f>SUM(AA66:AA441)</f>
        <v>0</v>
      </c>
      <c r="AL96" s="10"/>
      <c r="AM96" s="10"/>
    </row>
    <row r="97" spans="1:34" x14ac:dyDescent="0.4">
      <c r="A97" s="31">
        <v>46102</v>
      </c>
      <c r="B97" s="31"/>
      <c r="C97" s="33">
        <v>0.375</v>
      </c>
      <c r="D97" s="33"/>
      <c r="E97" s="33"/>
      <c r="F97" s="33">
        <v>0.72916666666666663</v>
      </c>
      <c r="G97" s="33"/>
      <c r="H97" s="33"/>
      <c r="I97" s="33">
        <f t="shared" si="1"/>
        <v>0.31249999999999994</v>
      </c>
      <c r="J97" s="33"/>
      <c r="K97" s="33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26" t="str">
        <f>IF(ISNUMBER(MATCH(A97, 設定休日!$B$3:$B$50, 0)), 1, "")</f>
        <v/>
      </c>
      <c r="Z97" s="26"/>
      <c r="AA97" s="22"/>
      <c r="AB97" s="32"/>
      <c r="AC97" s="32"/>
      <c r="AD97" s="32"/>
      <c r="AE97" s="32"/>
      <c r="AF97" s="32"/>
      <c r="AG97" s="32"/>
      <c r="AH97" s="32"/>
    </row>
    <row r="98" spans="1:34" x14ac:dyDescent="0.4">
      <c r="A98" s="28">
        <v>46103</v>
      </c>
      <c r="B98" s="28"/>
      <c r="C98" s="29">
        <v>0.375</v>
      </c>
      <c r="D98" s="29"/>
      <c r="E98" s="29"/>
      <c r="F98" s="29">
        <v>0.72916666666666663</v>
      </c>
      <c r="G98" s="29"/>
      <c r="H98" s="29"/>
      <c r="I98" s="29">
        <f t="shared" si="1"/>
        <v>0.31249999999999994</v>
      </c>
      <c r="J98" s="29"/>
      <c r="K98" s="29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4" t="str">
        <f>IF(ISNUMBER(MATCH(A98, 設定休日!$B$3:$B$50, 0)), 1, "")</f>
        <v/>
      </c>
      <c r="Z98" s="24"/>
      <c r="AA98" s="21"/>
      <c r="AB98" s="27"/>
      <c r="AC98" s="27"/>
      <c r="AD98" s="27"/>
      <c r="AE98" s="27"/>
      <c r="AF98" s="27"/>
      <c r="AG98" s="27"/>
      <c r="AH98" s="27"/>
    </row>
    <row r="99" spans="1:34" x14ac:dyDescent="0.4">
      <c r="A99" s="28">
        <v>46104</v>
      </c>
      <c r="B99" s="28"/>
      <c r="C99" s="29">
        <v>0.375</v>
      </c>
      <c r="D99" s="29"/>
      <c r="E99" s="29"/>
      <c r="F99" s="29">
        <v>0.72916666666666663</v>
      </c>
      <c r="G99" s="29"/>
      <c r="H99" s="29"/>
      <c r="I99" s="29">
        <f t="shared" si="1"/>
        <v>0.31249999999999994</v>
      </c>
      <c r="J99" s="29"/>
      <c r="K99" s="29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4" t="str">
        <f>IF(ISNUMBER(MATCH(A99, 設定休日!$B$3:$B$50, 0)), 1, "")</f>
        <v/>
      </c>
      <c r="Z99" s="24"/>
      <c r="AA99" s="21"/>
      <c r="AB99" s="27"/>
      <c r="AC99" s="27"/>
      <c r="AD99" s="27"/>
      <c r="AE99" s="27"/>
      <c r="AF99" s="27"/>
      <c r="AG99" s="27"/>
      <c r="AH99" s="27"/>
    </row>
    <row r="100" spans="1:34" x14ac:dyDescent="0.4">
      <c r="A100" s="28">
        <v>46105</v>
      </c>
      <c r="B100" s="28"/>
      <c r="C100" s="29"/>
      <c r="D100" s="29"/>
      <c r="E100" s="29"/>
      <c r="F100" s="29"/>
      <c r="G100" s="29"/>
      <c r="H100" s="29"/>
      <c r="I100" s="29" t="str">
        <f t="shared" si="1"/>
        <v/>
      </c>
      <c r="J100" s="29"/>
      <c r="K100" s="29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4" t="str">
        <f>IF(ISNUMBER(MATCH(A100, 設定休日!$B$3:$B$50, 0)), 1, "")</f>
        <v/>
      </c>
      <c r="Z100" s="24"/>
      <c r="AA100" s="21"/>
      <c r="AB100" s="27"/>
      <c r="AC100" s="27"/>
      <c r="AD100" s="27"/>
      <c r="AE100" s="27"/>
      <c r="AF100" s="27"/>
      <c r="AG100" s="27"/>
      <c r="AH100" s="27"/>
    </row>
    <row r="101" spans="1:34" x14ac:dyDescent="0.4">
      <c r="A101" s="28">
        <v>46106</v>
      </c>
      <c r="B101" s="28"/>
      <c r="C101" s="29"/>
      <c r="D101" s="29"/>
      <c r="E101" s="29"/>
      <c r="F101" s="29"/>
      <c r="G101" s="29"/>
      <c r="H101" s="29"/>
      <c r="I101" s="29" t="str">
        <f t="shared" si="1"/>
        <v/>
      </c>
      <c r="J101" s="29"/>
      <c r="K101" s="29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4" t="str">
        <f>IF(ISNUMBER(MATCH(A101, 設定休日!$B$3:$B$50, 0)), 1, "")</f>
        <v/>
      </c>
      <c r="Z101" s="24"/>
      <c r="AA101" s="21"/>
      <c r="AB101" s="27"/>
      <c r="AC101" s="27"/>
      <c r="AD101" s="27"/>
      <c r="AE101" s="27"/>
      <c r="AF101" s="27"/>
      <c r="AG101" s="27"/>
      <c r="AH101" s="27"/>
    </row>
    <row r="102" spans="1:34" x14ac:dyDescent="0.4">
      <c r="A102" s="28">
        <v>46107</v>
      </c>
      <c r="B102" s="28"/>
      <c r="C102" s="29"/>
      <c r="D102" s="29"/>
      <c r="E102" s="29"/>
      <c r="F102" s="29"/>
      <c r="G102" s="29"/>
      <c r="H102" s="29"/>
      <c r="I102" s="29" t="str">
        <f t="shared" si="1"/>
        <v/>
      </c>
      <c r="J102" s="29"/>
      <c r="K102" s="29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4" t="str">
        <f>IF(ISNUMBER(MATCH(A102, 設定休日!$B$3:$B$50, 0)), 1, "")</f>
        <v/>
      </c>
      <c r="Z102" s="24"/>
      <c r="AA102" s="21"/>
      <c r="AB102" s="27"/>
      <c r="AC102" s="27"/>
      <c r="AD102" s="27"/>
      <c r="AE102" s="27"/>
      <c r="AF102" s="27"/>
      <c r="AG102" s="27"/>
      <c r="AH102" s="27"/>
    </row>
    <row r="103" spans="1:34" x14ac:dyDescent="0.4">
      <c r="A103" s="28">
        <v>46108</v>
      </c>
      <c r="B103" s="28"/>
      <c r="C103" s="29"/>
      <c r="D103" s="29"/>
      <c r="E103" s="29"/>
      <c r="F103" s="29"/>
      <c r="G103" s="29"/>
      <c r="H103" s="29"/>
      <c r="I103" s="29" t="str">
        <f t="shared" si="1"/>
        <v/>
      </c>
      <c r="J103" s="29"/>
      <c r="K103" s="29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4" t="str">
        <f>IF(ISNUMBER(MATCH(A103, 設定休日!$B$3:$B$50, 0)), 1, "")</f>
        <v/>
      </c>
      <c r="Z103" s="24"/>
      <c r="AA103" s="21"/>
      <c r="AB103" s="27"/>
      <c r="AC103" s="27"/>
      <c r="AD103" s="27"/>
      <c r="AE103" s="27"/>
      <c r="AF103" s="27"/>
      <c r="AG103" s="27"/>
      <c r="AH103" s="27"/>
    </row>
    <row r="104" spans="1:34" x14ac:dyDescent="0.4">
      <c r="A104" s="28">
        <v>46109</v>
      </c>
      <c r="B104" s="28"/>
      <c r="C104" s="29"/>
      <c r="D104" s="29"/>
      <c r="E104" s="29"/>
      <c r="F104" s="29"/>
      <c r="G104" s="29"/>
      <c r="H104" s="29"/>
      <c r="I104" s="29" t="str">
        <f t="shared" si="1"/>
        <v/>
      </c>
      <c r="J104" s="29"/>
      <c r="K104" s="29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4" t="str">
        <f>IF(ISNUMBER(MATCH(A104, 設定休日!$B$3:$B$50, 0)), 1, "")</f>
        <v/>
      </c>
      <c r="Z104" s="24"/>
      <c r="AA104" s="21"/>
      <c r="AB104" s="27"/>
      <c r="AC104" s="27"/>
      <c r="AD104" s="27"/>
      <c r="AE104" s="27"/>
      <c r="AF104" s="27"/>
      <c r="AG104" s="27"/>
      <c r="AH104" s="27"/>
    </row>
    <row r="105" spans="1:34" x14ac:dyDescent="0.4">
      <c r="A105" s="28">
        <v>46110</v>
      </c>
      <c r="B105" s="28"/>
      <c r="C105" s="29"/>
      <c r="D105" s="29"/>
      <c r="E105" s="29"/>
      <c r="F105" s="29"/>
      <c r="G105" s="29"/>
      <c r="H105" s="29"/>
      <c r="I105" s="29" t="str">
        <f t="shared" si="1"/>
        <v/>
      </c>
      <c r="J105" s="29"/>
      <c r="K105" s="29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4" t="str">
        <f>IF(ISNUMBER(MATCH(A105, 設定休日!$B$3:$B$50, 0)), 1, "")</f>
        <v/>
      </c>
      <c r="Z105" s="24"/>
      <c r="AA105" s="21"/>
      <c r="AB105" s="27"/>
      <c r="AC105" s="27"/>
      <c r="AD105" s="27"/>
      <c r="AE105" s="27"/>
      <c r="AF105" s="27"/>
      <c r="AG105" s="27"/>
      <c r="AH105" s="27"/>
    </row>
    <row r="106" spans="1:34" x14ac:dyDescent="0.4">
      <c r="A106" s="28">
        <v>46111</v>
      </c>
      <c r="B106" s="28"/>
      <c r="C106" s="27"/>
      <c r="D106" s="27"/>
      <c r="E106" s="27"/>
      <c r="F106" s="29"/>
      <c r="G106" s="29"/>
      <c r="H106" s="29"/>
      <c r="I106" s="29" t="str">
        <f t="shared" si="1"/>
        <v/>
      </c>
      <c r="J106" s="29"/>
      <c r="K106" s="29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4" t="str">
        <f>IF(ISNUMBER(MATCH(A106, 設定休日!$B$3:$B$50, 0)), 1, "")</f>
        <v/>
      </c>
      <c r="Z106" s="24"/>
      <c r="AA106" s="21"/>
      <c r="AB106" s="27"/>
      <c r="AC106" s="27"/>
      <c r="AD106" s="27"/>
      <c r="AE106" s="27"/>
      <c r="AF106" s="27"/>
      <c r="AG106" s="27"/>
      <c r="AH106" s="27"/>
    </row>
    <row r="107" spans="1:34" x14ac:dyDescent="0.4">
      <c r="A107" s="28">
        <v>46112</v>
      </c>
      <c r="B107" s="28"/>
      <c r="C107" s="27"/>
      <c r="D107" s="27"/>
      <c r="E107" s="27"/>
      <c r="F107" s="29"/>
      <c r="G107" s="29"/>
      <c r="H107" s="29"/>
      <c r="I107" s="29" t="str">
        <f t="shared" si="1"/>
        <v/>
      </c>
      <c r="J107" s="29"/>
      <c r="K107" s="29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4" t="str">
        <f>IF(ISNUMBER(MATCH(A107, 設定休日!$B$3:$B$50, 0)), 1, "")</f>
        <v/>
      </c>
      <c r="Z107" s="24"/>
      <c r="AA107" s="21"/>
      <c r="AB107" s="27"/>
      <c r="AC107" s="27"/>
      <c r="AD107" s="27"/>
      <c r="AE107" s="27"/>
      <c r="AF107" s="27"/>
      <c r="AG107" s="27"/>
      <c r="AH107" s="27"/>
    </row>
    <row r="108" spans="1:34" x14ac:dyDescent="0.4">
      <c r="A108" s="28">
        <v>46113</v>
      </c>
      <c r="B108" s="28"/>
      <c r="C108" s="27"/>
      <c r="D108" s="27"/>
      <c r="E108" s="27"/>
      <c r="F108" s="29"/>
      <c r="G108" s="29"/>
      <c r="H108" s="29"/>
      <c r="I108" s="29" t="str">
        <f t="shared" si="1"/>
        <v/>
      </c>
      <c r="J108" s="29"/>
      <c r="K108" s="29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4" t="str">
        <f>IF(ISNUMBER(MATCH(A108, 設定休日!$B$3:$B$50, 0)), 1, "")</f>
        <v/>
      </c>
      <c r="Z108" s="24"/>
      <c r="AA108" s="21"/>
      <c r="AB108" s="27"/>
      <c r="AC108" s="27"/>
      <c r="AD108" s="27"/>
      <c r="AE108" s="27"/>
      <c r="AF108" s="27"/>
      <c r="AG108" s="27"/>
      <c r="AH108" s="27"/>
    </row>
    <row r="109" spans="1:34" x14ac:dyDescent="0.4">
      <c r="A109" s="28">
        <v>46114</v>
      </c>
      <c r="B109" s="28"/>
      <c r="C109" s="27"/>
      <c r="D109" s="27"/>
      <c r="E109" s="27"/>
      <c r="F109" s="29"/>
      <c r="G109" s="29"/>
      <c r="H109" s="29"/>
      <c r="I109" s="29" t="str">
        <f t="shared" si="1"/>
        <v/>
      </c>
      <c r="J109" s="29"/>
      <c r="K109" s="29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4" t="str">
        <f>IF(ISNUMBER(MATCH(A109, 設定休日!$B$3:$B$50, 0)), 1, "")</f>
        <v/>
      </c>
      <c r="Z109" s="24"/>
      <c r="AA109" s="21"/>
      <c r="AB109" s="27"/>
      <c r="AC109" s="27"/>
      <c r="AD109" s="27"/>
      <c r="AE109" s="27"/>
      <c r="AF109" s="27"/>
      <c r="AG109" s="27"/>
      <c r="AH109" s="27"/>
    </row>
    <row r="110" spans="1:34" x14ac:dyDescent="0.4">
      <c r="A110" s="28">
        <v>46115</v>
      </c>
      <c r="B110" s="28"/>
      <c r="C110" s="27"/>
      <c r="D110" s="27"/>
      <c r="E110" s="27"/>
      <c r="F110" s="29"/>
      <c r="G110" s="29"/>
      <c r="H110" s="29"/>
      <c r="I110" s="29" t="str">
        <f t="shared" si="1"/>
        <v/>
      </c>
      <c r="J110" s="29"/>
      <c r="K110" s="29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4" t="str">
        <f>IF(ISNUMBER(MATCH(A110, 設定休日!$B$3:$B$50, 0)), 1, "")</f>
        <v/>
      </c>
      <c r="Z110" s="24"/>
      <c r="AA110" s="21"/>
      <c r="AB110" s="27"/>
      <c r="AC110" s="27"/>
      <c r="AD110" s="27"/>
      <c r="AE110" s="27"/>
      <c r="AF110" s="27"/>
      <c r="AG110" s="27"/>
      <c r="AH110" s="27"/>
    </row>
    <row r="111" spans="1:34" x14ac:dyDescent="0.4">
      <c r="A111" s="28">
        <v>46116</v>
      </c>
      <c r="B111" s="28"/>
      <c r="C111" s="27"/>
      <c r="D111" s="27"/>
      <c r="E111" s="27"/>
      <c r="F111" s="29"/>
      <c r="G111" s="29"/>
      <c r="H111" s="29"/>
      <c r="I111" s="29" t="str">
        <f t="shared" si="1"/>
        <v/>
      </c>
      <c r="J111" s="29"/>
      <c r="K111" s="29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4" t="str">
        <f>IF(ISNUMBER(MATCH(A111, 設定休日!$B$3:$B$50, 0)), 1, "")</f>
        <v/>
      </c>
      <c r="Z111" s="24"/>
      <c r="AA111" s="21"/>
      <c r="AB111" s="27"/>
      <c r="AC111" s="27"/>
      <c r="AD111" s="27"/>
      <c r="AE111" s="27"/>
      <c r="AF111" s="27"/>
      <c r="AG111" s="27"/>
      <c r="AH111" s="27"/>
    </row>
    <row r="112" spans="1:34" x14ac:dyDescent="0.4">
      <c r="A112" s="28">
        <v>46117</v>
      </c>
      <c r="B112" s="28"/>
      <c r="C112" s="27"/>
      <c r="D112" s="27"/>
      <c r="E112" s="27"/>
      <c r="F112" s="29"/>
      <c r="G112" s="29"/>
      <c r="H112" s="29"/>
      <c r="I112" s="29" t="str">
        <f t="shared" si="1"/>
        <v/>
      </c>
      <c r="J112" s="29"/>
      <c r="K112" s="29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4" t="str">
        <f>IF(ISNUMBER(MATCH(A112, 設定休日!$B$3:$B$50, 0)), 1, "")</f>
        <v/>
      </c>
      <c r="Z112" s="24"/>
      <c r="AA112" s="21"/>
      <c r="AB112" s="27"/>
      <c r="AC112" s="27"/>
      <c r="AD112" s="27"/>
      <c r="AE112" s="27"/>
      <c r="AF112" s="27"/>
      <c r="AG112" s="27"/>
      <c r="AH112" s="27"/>
    </row>
    <row r="113" spans="1:40" x14ac:dyDescent="0.4">
      <c r="A113" s="28">
        <v>46118</v>
      </c>
      <c r="B113" s="28"/>
      <c r="C113" s="27"/>
      <c r="D113" s="27"/>
      <c r="E113" s="27"/>
      <c r="F113" s="29"/>
      <c r="G113" s="29"/>
      <c r="H113" s="29"/>
      <c r="I113" s="29" t="str">
        <f t="shared" si="1"/>
        <v/>
      </c>
      <c r="J113" s="29"/>
      <c r="K113" s="29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4">
        <f>IF(ISNUMBER(MATCH(A113, 設定休日!$B$3:$B$50, 0)), 1, "")</f>
        <v>1</v>
      </c>
      <c r="Z113" s="24"/>
      <c r="AA113" s="21"/>
      <c r="AB113" s="27"/>
      <c r="AC113" s="27"/>
      <c r="AD113" s="27"/>
      <c r="AE113" s="27"/>
      <c r="AF113" s="27"/>
      <c r="AG113" s="27"/>
      <c r="AH113" s="27"/>
    </row>
    <row r="114" spans="1:40" x14ac:dyDescent="0.4">
      <c r="A114" s="28">
        <v>46119</v>
      </c>
      <c r="B114" s="28"/>
      <c r="C114" s="27"/>
      <c r="D114" s="27"/>
      <c r="E114" s="27"/>
      <c r="F114" s="29"/>
      <c r="G114" s="29"/>
      <c r="H114" s="29"/>
      <c r="I114" s="29" t="str">
        <f t="shared" si="1"/>
        <v/>
      </c>
      <c r="J114" s="29"/>
      <c r="K114" s="29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4" t="str">
        <f>IF(ISNUMBER(MATCH(A114, 設定休日!$B$3:$B$50, 0)), 1, "")</f>
        <v/>
      </c>
      <c r="Z114" s="24"/>
      <c r="AA114" s="21"/>
      <c r="AB114" s="27"/>
      <c r="AC114" s="27"/>
      <c r="AD114" s="27"/>
      <c r="AE114" s="27"/>
      <c r="AF114" s="27"/>
      <c r="AG114" s="27"/>
      <c r="AH114" s="27"/>
    </row>
    <row r="115" spans="1:40" x14ac:dyDescent="0.4">
      <c r="A115" s="28">
        <v>46120</v>
      </c>
      <c r="B115" s="28"/>
      <c r="C115" s="27"/>
      <c r="D115" s="27"/>
      <c r="E115" s="27"/>
      <c r="F115" s="29"/>
      <c r="G115" s="29"/>
      <c r="H115" s="29"/>
      <c r="I115" s="29" t="str">
        <f t="shared" si="1"/>
        <v/>
      </c>
      <c r="J115" s="29"/>
      <c r="K115" s="29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4" t="str">
        <f>IF(ISNUMBER(MATCH(A115, 設定休日!$B$3:$B$50, 0)), 1, "")</f>
        <v/>
      </c>
      <c r="Z115" s="24"/>
      <c r="AA115" s="21"/>
      <c r="AB115" s="27"/>
      <c r="AC115" s="27"/>
      <c r="AD115" s="27"/>
      <c r="AE115" s="27"/>
      <c r="AF115" s="27"/>
      <c r="AG115" s="27"/>
      <c r="AH115" s="27"/>
    </row>
    <row r="116" spans="1:40" x14ac:dyDescent="0.4">
      <c r="A116" s="28">
        <v>46121</v>
      </c>
      <c r="B116" s="28"/>
      <c r="C116" s="27"/>
      <c r="D116" s="27"/>
      <c r="E116" s="27"/>
      <c r="F116" s="29"/>
      <c r="G116" s="29"/>
      <c r="H116" s="29"/>
      <c r="I116" s="29" t="str">
        <f t="shared" si="1"/>
        <v/>
      </c>
      <c r="J116" s="29"/>
      <c r="K116" s="29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4" t="str">
        <f>IF(ISNUMBER(MATCH(A116, 設定休日!$B$3:$B$50, 0)), 1, "")</f>
        <v/>
      </c>
      <c r="Z116" s="24"/>
      <c r="AA116" s="21"/>
      <c r="AB116" s="27"/>
      <c r="AC116" s="27"/>
      <c r="AD116" s="27"/>
      <c r="AE116" s="27"/>
      <c r="AF116" s="27"/>
      <c r="AG116" s="27"/>
      <c r="AH116" s="27"/>
    </row>
    <row r="117" spans="1:40" x14ac:dyDescent="0.4">
      <c r="A117" s="28">
        <v>46122</v>
      </c>
      <c r="B117" s="28"/>
      <c r="C117" s="27"/>
      <c r="D117" s="27"/>
      <c r="E117" s="27"/>
      <c r="F117" s="29"/>
      <c r="G117" s="29"/>
      <c r="H117" s="29"/>
      <c r="I117" s="29" t="str">
        <f t="shared" si="1"/>
        <v/>
      </c>
      <c r="J117" s="29"/>
      <c r="K117" s="29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4" t="str">
        <f>IF(ISNUMBER(MATCH(A117, 設定休日!$B$3:$B$50, 0)), 1, "")</f>
        <v/>
      </c>
      <c r="Z117" s="24"/>
      <c r="AA117" s="21"/>
      <c r="AB117" s="27"/>
      <c r="AC117" s="27"/>
      <c r="AD117" s="27"/>
      <c r="AE117" s="27"/>
      <c r="AF117" s="27"/>
      <c r="AG117" s="27"/>
      <c r="AH117" s="27"/>
    </row>
    <row r="118" spans="1:40" x14ac:dyDescent="0.4">
      <c r="A118" s="28">
        <v>46123</v>
      </c>
      <c r="B118" s="28"/>
      <c r="C118" s="27"/>
      <c r="D118" s="27"/>
      <c r="E118" s="27"/>
      <c r="F118" s="29"/>
      <c r="G118" s="29"/>
      <c r="H118" s="29"/>
      <c r="I118" s="29" t="str">
        <f t="shared" si="1"/>
        <v/>
      </c>
      <c r="J118" s="29"/>
      <c r="K118" s="29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4" t="str">
        <f>IF(ISNUMBER(MATCH(A118, 設定休日!$B$3:$B$50, 0)), 1, "")</f>
        <v/>
      </c>
      <c r="Z118" s="24"/>
      <c r="AA118" s="21"/>
      <c r="AB118" s="27"/>
      <c r="AC118" s="27"/>
      <c r="AD118" s="27"/>
      <c r="AE118" s="27"/>
      <c r="AF118" s="27"/>
      <c r="AG118" s="27"/>
      <c r="AH118" s="27"/>
    </row>
    <row r="119" spans="1:40" x14ac:dyDescent="0.4">
      <c r="A119" s="28">
        <v>46124</v>
      </c>
      <c r="B119" s="28"/>
      <c r="C119" s="27"/>
      <c r="D119" s="27"/>
      <c r="E119" s="27"/>
      <c r="F119" s="29"/>
      <c r="G119" s="29"/>
      <c r="H119" s="29"/>
      <c r="I119" s="29" t="str">
        <f t="shared" si="1"/>
        <v/>
      </c>
      <c r="J119" s="29"/>
      <c r="K119" s="29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4" t="str">
        <f>IF(ISNUMBER(MATCH(A119, 設定休日!$B$3:$B$50, 0)), 1, "")</f>
        <v/>
      </c>
      <c r="Z119" s="24"/>
      <c r="AA119" s="21"/>
      <c r="AB119" s="27"/>
      <c r="AC119" s="27"/>
      <c r="AD119" s="27"/>
      <c r="AE119" s="27"/>
      <c r="AF119" s="27"/>
      <c r="AG119" s="27"/>
      <c r="AH119" s="27"/>
    </row>
    <row r="120" spans="1:40" x14ac:dyDescent="0.4">
      <c r="A120" s="28">
        <v>46125</v>
      </c>
      <c r="B120" s="28"/>
      <c r="C120" s="27"/>
      <c r="D120" s="27"/>
      <c r="E120" s="27"/>
      <c r="F120" s="29"/>
      <c r="G120" s="29"/>
      <c r="H120" s="29"/>
      <c r="I120" s="29" t="str">
        <f t="shared" si="1"/>
        <v/>
      </c>
      <c r="J120" s="29"/>
      <c r="K120" s="29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4" t="str">
        <f>IF(ISNUMBER(MATCH(A120, 設定休日!$B$3:$B$50, 0)), 1, "")</f>
        <v/>
      </c>
      <c r="Z120" s="24"/>
      <c r="AA120" s="21"/>
      <c r="AB120" s="27"/>
      <c r="AC120" s="27"/>
      <c r="AD120" s="27"/>
      <c r="AE120" s="27"/>
      <c r="AF120" s="27"/>
      <c r="AG120" s="27"/>
      <c r="AH120" s="27"/>
      <c r="AI120" s="13">
        <f>MONTH(A120)</f>
        <v>4</v>
      </c>
      <c r="AJ120" s="11" t="s">
        <v>47</v>
      </c>
      <c r="AK120" s="11" t="s">
        <v>48</v>
      </c>
      <c r="AM120" s="9" t="s">
        <v>50</v>
      </c>
      <c r="AN120" s="9" t="s">
        <v>53</v>
      </c>
    </row>
    <row r="121" spans="1:40" x14ac:dyDescent="0.4">
      <c r="A121" s="28">
        <v>46126</v>
      </c>
      <c r="B121" s="28"/>
      <c r="C121" s="27"/>
      <c r="D121" s="27"/>
      <c r="E121" s="27"/>
      <c r="F121" s="29"/>
      <c r="G121" s="29"/>
      <c r="H121" s="29"/>
      <c r="I121" s="29" t="str">
        <f t="shared" si="1"/>
        <v/>
      </c>
      <c r="J121" s="29"/>
      <c r="K121" s="29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4" t="str">
        <f>IF(ISNUMBER(MATCH(A121, 設定休日!$B$3:$B$50, 0)), 1, "")</f>
        <v/>
      </c>
      <c r="Z121" s="24"/>
      <c r="AA121" s="21"/>
      <c r="AB121" s="27"/>
      <c r="AC121" s="27"/>
      <c r="AD121" s="27"/>
      <c r="AE121" s="27"/>
      <c r="AF121" s="27"/>
      <c r="AG121" s="27"/>
      <c r="AH121" s="27"/>
      <c r="AI121" s="14" t="s">
        <v>41</v>
      </c>
      <c r="AJ121" s="9">
        <f>AM121-AM122+1</f>
        <v>31</v>
      </c>
      <c r="AK121" s="9">
        <f>AJ121</f>
        <v>31</v>
      </c>
      <c r="AM121" s="9">
        <f>MATCH(DATE($A$4,AI120,20),A:A,0)</f>
        <v>127</v>
      </c>
      <c r="AN121" s="9" t="s">
        <v>51</v>
      </c>
    </row>
    <row r="122" spans="1:40" x14ac:dyDescent="0.4">
      <c r="A122" s="28">
        <v>46127</v>
      </c>
      <c r="B122" s="28"/>
      <c r="C122" s="27"/>
      <c r="D122" s="27"/>
      <c r="E122" s="27"/>
      <c r="F122" s="29"/>
      <c r="G122" s="29"/>
      <c r="H122" s="29"/>
      <c r="I122" s="29" t="str">
        <f t="shared" si="1"/>
        <v/>
      </c>
      <c r="J122" s="29"/>
      <c r="K122" s="29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4" t="str">
        <f>IF(ISNUMBER(MATCH(A122, 設定休日!$B$3:$B$50, 0)), 1, "")</f>
        <v/>
      </c>
      <c r="Z122" s="24"/>
      <c r="AA122" s="21"/>
      <c r="AB122" s="27"/>
      <c r="AC122" s="27"/>
      <c r="AD122" s="27"/>
      <c r="AE122" s="27"/>
      <c r="AF122" s="27"/>
      <c r="AG122" s="27"/>
      <c r="AH122" s="27"/>
      <c r="AI122" s="9" t="s">
        <v>42</v>
      </c>
      <c r="AJ122" s="9" cm="1">
        <f t="array" aca="1" ref="AJ122" ca="1">AJ121-SUMPRODUCT(COUNTIF(INDIRECT("A"&amp;AM121&amp;":A"&amp;AM122),祝日!B62:B109))+SUMPRODUCT(COUNTIF(INDIRECT("A"&amp;AM121&amp;":A"&amp;AM122),設定休日!B62:B109))</f>
        <v>31</v>
      </c>
      <c r="AK122" s="9">
        <f ca="1">AJ122</f>
        <v>31</v>
      </c>
      <c r="AM122" s="9">
        <f>MATCH(DATE(IF(MONTH(A103)=12,$A$4-1,$A$4),MONTH(A103),21),A:A,0)</f>
        <v>97</v>
      </c>
      <c r="AN122" s="9" t="s">
        <v>52</v>
      </c>
    </row>
    <row r="123" spans="1:40" x14ac:dyDescent="0.4">
      <c r="A123" s="28">
        <v>46128</v>
      </c>
      <c r="B123" s="28"/>
      <c r="C123" s="27"/>
      <c r="D123" s="27"/>
      <c r="E123" s="27"/>
      <c r="F123" s="29"/>
      <c r="G123" s="29"/>
      <c r="H123" s="29"/>
      <c r="I123" s="29" t="str">
        <f t="shared" si="1"/>
        <v/>
      </c>
      <c r="J123" s="29"/>
      <c r="K123" s="29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4" t="str">
        <f>IF(ISNUMBER(MATCH(A123, 設定休日!$B$3:$B$50, 0)), 1, "")</f>
        <v/>
      </c>
      <c r="Z123" s="24"/>
      <c r="AA123" s="21"/>
      <c r="AB123" s="27"/>
      <c r="AC123" s="27"/>
      <c r="AD123" s="27"/>
      <c r="AE123" s="27"/>
      <c r="AF123" s="27"/>
      <c r="AG123" s="27"/>
      <c r="AH123" s="27"/>
      <c r="AI123" s="9" t="s">
        <v>43</v>
      </c>
      <c r="AJ123" s="12">
        <f ca="1">AJ122*TIME(7,0,0)</f>
        <v>9.0416666666666679</v>
      </c>
      <c r="AM123" s="9" t="s">
        <v>54</v>
      </c>
      <c r="AN123" s="9" t="s">
        <v>55</v>
      </c>
    </row>
    <row r="124" spans="1:40" x14ac:dyDescent="0.4">
      <c r="A124" s="28">
        <v>46129</v>
      </c>
      <c r="B124" s="28"/>
      <c r="C124" s="27"/>
      <c r="D124" s="27"/>
      <c r="E124" s="27"/>
      <c r="F124" s="27"/>
      <c r="G124" s="27"/>
      <c r="H124" s="27"/>
      <c r="I124" s="29" t="str">
        <f t="shared" si="1"/>
        <v/>
      </c>
      <c r="J124" s="29"/>
      <c r="K124" s="29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4" t="str">
        <f>IF(ISNUMBER(MATCH(A124, 設定休日!$B$3:$B$50, 0)), 1, "")</f>
        <v/>
      </c>
      <c r="Z124" s="24"/>
      <c r="AA124" s="21"/>
      <c r="AB124" s="27"/>
      <c r="AC124" s="27"/>
      <c r="AD124" s="27"/>
      <c r="AE124" s="27"/>
      <c r="AF124" s="27"/>
      <c r="AG124" s="27"/>
      <c r="AH124" s="27"/>
      <c r="AI124" s="9" t="s">
        <v>44</v>
      </c>
      <c r="AJ124" s="12">
        <f ca="1">SUM(INDIRECT("I"&amp;AM121&amp;":I"&amp;AM122))</f>
        <v>0.93749999999999978</v>
      </c>
      <c r="AN124" s="9" t="s">
        <v>59</v>
      </c>
    </row>
    <row r="125" spans="1:40" x14ac:dyDescent="0.4">
      <c r="A125" s="28">
        <v>46130</v>
      </c>
      <c r="B125" s="28"/>
      <c r="C125" s="27"/>
      <c r="D125" s="27"/>
      <c r="E125" s="27"/>
      <c r="F125" s="27"/>
      <c r="G125" s="27"/>
      <c r="H125" s="27"/>
      <c r="I125" s="29" t="str">
        <f t="shared" si="1"/>
        <v/>
      </c>
      <c r="J125" s="29"/>
      <c r="K125" s="29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4" t="str">
        <f>IF(ISNUMBER(MATCH(A125, 設定休日!$B$3:$B$50, 0)), 1, "")</f>
        <v/>
      </c>
      <c r="Z125" s="24"/>
      <c r="AA125" s="21"/>
      <c r="AB125" s="27"/>
      <c r="AC125" s="27"/>
      <c r="AD125" s="27"/>
      <c r="AE125" s="27"/>
      <c r="AF125" s="27"/>
      <c r="AG125" s="27"/>
      <c r="AH125" s="27"/>
      <c r="AI125" s="9" t="s">
        <v>49</v>
      </c>
      <c r="AJ125" s="12" t="str">
        <f ca="1">IF(AJ124-AJ123&lt;=0,"",AJ124-AJ123)</f>
        <v/>
      </c>
    </row>
    <row r="126" spans="1:40" x14ac:dyDescent="0.4">
      <c r="A126" s="28">
        <v>46131</v>
      </c>
      <c r="B126" s="28"/>
      <c r="C126" s="27"/>
      <c r="D126" s="27"/>
      <c r="E126" s="27"/>
      <c r="F126" s="27"/>
      <c r="G126" s="27"/>
      <c r="H126" s="27"/>
      <c r="I126" s="29" t="str">
        <f t="shared" si="1"/>
        <v/>
      </c>
      <c r="J126" s="29"/>
      <c r="K126" s="29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4" t="str">
        <f>IF(ISNUMBER(MATCH(A126, 設定休日!$B$3:$B$50, 0)), 1, "")</f>
        <v/>
      </c>
      <c r="Z126" s="24"/>
      <c r="AA126" s="21"/>
      <c r="AB126" s="27"/>
      <c r="AC126" s="27"/>
      <c r="AD126" s="27"/>
      <c r="AE126" s="27"/>
      <c r="AF126" s="27"/>
      <c r="AG126" s="27"/>
      <c r="AH126" s="27"/>
      <c r="AI126" s="9" t="s">
        <v>45</v>
      </c>
      <c r="AJ126" s="9">
        <f ca="1">COUNTA(INDIRECT("Z"&amp;AM121&amp;":Z"&amp;AM122))</f>
        <v>0</v>
      </c>
      <c r="AK126" s="9" cm="1">
        <f t="array" ref="AK126">SUMPRODUCT( --(Z97:Z472&lt;&gt;""))</f>
        <v>1</v>
      </c>
    </row>
    <row r="127" spans="1:40" ht="19.5" thickBot="1" x14ac:dyDescent="0.45">
      <c r="A127" s="34">
        <v>46132</v>
      </c>
      <c r="B127" s="34"/>
      <c r="C127" s="30"/>
      <c r="D127" s="30"/>
      <c r="E127" s="30"/>
      <c r="F127" s="30"/>
      <c r="G127" s="30"/>
      <c r="H127" s="30"/>
      <c r="I127" s="35" t="str">
        <f t="shared" si="1"/>
        <v/>
      </c>
      <c r="J127" s="35"/>
      <c r="K127" s="35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25" t="str">
        <f>IF(ISNUMBER(MATCH(A127, 設定休日!$B$3:$B$50, 0)), 1, "")</f>
        <v/>
      </c>
      <c r="Z127" s="25"/>
      <c r="AA127" s="23"/>
      <c r="AB127" s="30"/>
      <c r="AC127" s="30"/>
      <c r="AD127" s="30"/>
      <c r="AE127" s="30"/>
      <c r="AF127" s="30"/>
      <c r="AG127" s="30"/>
      <c r="AH127" s="30"/>
      <c r="AI127" s="10" t="s">
        <v>46</v>
      </c>
      <c r="AJ127" s="10">
        <f ca="1">SUM(INDIRECT("AA"&amp;AM121&amp;":AA"&amp;AM122))</f>
        <v>0</v>
      </c>
      <c r="AK127" s="10">
        <f>SUM(AA97:AA472)</f>
        <v>0</v>
      </c>
      <c r="AL127" s="10"/>
      <c r="AM127" s="10"/>
    </row>
    <row r="128" spans="1:40" x14ac:dyDescent="0.4">
      <c r="A128" s="31">
        <v>46133</v>
      </c>
      <c r="B128" s="31"/>
      <c r="C128" s="32"/>
      <c r="D128" s="32"/>
      <c r="E128" s="32"/>
      <c r="F128" s="32"/>
      <c r="G128" s="32"/>
      <c r="H128" s="32"/>
      <c r="I128" s="33" t="str">
        <f t="shared" si="1"/>
        <v/>
      </c>
      <c r="J128" s="33"/>
      <c r="K128" s="33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26" t="str">
        <f>IF(ISNUMBER(MATCH(A128, 設定休日!$B$3:$B$50, 0)), 1, "")</f>
        <v/>
      </c>
      <c r="Z128" s="26"/>
      <c r="AA128" s="22"/>
      <c r="AB128" s="32"/>
      <c r="AC128" s="32"/>
      <c r="AD128" s="32"/>
      <c r="AE128" s="32"/>
      <c r="AF128" s="32"/>
      <c r="AG128" s="32"/>
      <c r="AH128" s="32"/>
    </row>
    <row r="129" spans="1:34" x14ac:dyDescent="0.4">
      <c r="A129" s="28">
        <v>46134</v>
      </c>
      <c r="B129" s="28"/>
      <c r="C129" s="27"/>
      <c r="D129" s="27"/>
      <c r="E129" s="27"/>
      <c r="F129" s="27"/>
      <c r="G129" s="27"/>
      <c r="H129" s="27"/>
      <c r="I129" s="29" t="str">
        <f t="shared" si="1"/>
        <v/>
      </c>
      <c r="J129" s="29"/>
      <c r="K129" s="29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4" t="str">
        <f>IF(ISNUMBER(MATCH(A129, 設定休日!$B$3:$B$50, 0)), 1, "")</f>
        <v/>
      </c>
      <c r="Z129" s="24"/>
      <c r="AA129" s="21"/>
      <c r="AB129" s="27"/>
      <c r="AC129" s="27"/>
      <c r="AD129" s="27"/>
      <c r="AE129" s="27"/>
      <c r="AF129" s="27"/>
      <c r="AG129" s="27"/>
      <c r="AH129" s="27"/>
    </row>
    <row r="130" spans="1:34" x14ac:dyDescent="0.4">
      <c r="A130" s="28">
        <v>46135</v>
      </c>
      <c r="B130" s="28"/>
      <c r="C130" s="27"/>
      <c r="D130" s="27"/>
      <c r="E130" s="27"/>
      <c r="F130" s="27"/>
      <c r="G130" s="27"/>
      <c r="H130" s="27"/>
      <c r="I130" s="29" t="str">
        <f t="shared" si="1"/>
        <v/>
      </c>
      <c r="J130" s="29"/>
      <c r="K130" s="29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4" t="str">
        <f>IF(ISNUMBER(MATCH(A130, 設定休日!$B$3:$B$50, 0)), 1, "")</f>
        <v/>
      </c>
      <c r="Z130" s="24"/>
      <c r="AA130" s="21"/>
      <c r="AB130" s="27"/>
      <c r="AC130" s="27"/>
      <c r="AD130" s="27"/>
      <c r="AE130" s="27"/>
      <c r="AF130" s="27"/>
      <c r="AG130" s="27"/>
      <c r="AH130" s="27"/>
    </row>
    <row r="131" spans="1:34" x14ac:dyDescent="0.4">
      <c r="A131" s="28">
        <v>46136</v>
      </c>
      <c r="B131" s="28"/>
      <c r="C131" s="27"/>
      <c r="D131" s="27"/>
      <c r="E131" s="27"/>
      <c r="F131" s="27"/>
      <c r="G131" s="27"/>
      <c r="H131" s="27"/>
      <c r="I131" s="29" t="str">
        <f t="shared" si="1"/>
        <v/>
      </c>
      <c r="J131" s="29"/>
      <c r="K131" s="29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4" t="str">
        <f>IF(ISNUMBER(MATCH(A131, 設定休日!$B$3:$B$50, 0)), 1, "")</f>
        <v/>
      </c>
      <c r="Z131" s="24"/>
      <c r="AA131" s="21"/>
      <c r="AB131" s="27"/>
      <c r="AC131" s="27"/>
      <c r="AD131" s="27"/>
      <c r="AE131" s="27"/>
      <c r="AF131" s="27"/>
      <c r="AG131" s="27"/>
      <c r="AH131" s="27"/>
    </row>
    <row r="132" spans="1:34" x14ac:dyDescent="0.4">
      <c r="A132" s="28">
        <v>46137</v>
      </c>
      <c r="B132" s="28"/>
      <c r="C132" s="27"/>
      <c r="D132" s="27"/>
      <c r="E132" s="27"/>
      <c r="F132" s="27"/>
      <c r="G132" s="27"/>
      <c r="H132" s="27"/>
      <c r="I132" s="29" t="str">
        <f t="shared" si="1"/>
        <v/>
      </c>
      <c r="J132" s="29"/>
      <c r="K132" s="29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4" t="str">
        <f>IF(ISNUMBER(MATCH(A132, 設定休日!$B$3:$B$50, 0)), 1, "")</f>
        <v/>
      </c>
      <c r="Z132" s="24"/>
      <c r="AA132" s="21"/>
      <c r="AB132" s="27"/>
      <c r="AC132" s="27"/>
      <c r="AD132" s="27"/>
      <c r="AE132" s="27"/>
      <c r="AF132" s="27"/>
      <c r="AG132" s="27"/>
      <c r="AH132" s="27"/>
    </row>
    <row r="133" spans="1:34" x14ac:dyDescent="0.4">
      <c r="A133" s="28">
        <v>46138</v>
      </c>
      <c r="B133" s="28"/>
      <c r="C133" s="27"/>
      <c r="D133" s="27"/>
      <c r="E133" s="27"/>
      <c r="F133" s="27"/>
      <c r="G133" s="27"/>
      <c r="H133" s="27"/>
      <c r="I133" s="29" t="str">
        <f t="shared" si="1"/>
        <v/>
      </c>
      <c r="J133" s="29"/>
      <c r="K133" s="29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4" t="str">
        <f>IF(ISNUMBER(MATCH(A133, 設定休日!$B$3:$B$50, 0)), 1, "")</f>
        <v/>
      </c>
      <c r="Z133" s="24"/>
      <c r="AA133" s="21"/>
      <c r="AB133" s="27"/>
      <c r="AC133" s="27"/>
      <c r="AD133" s="27"/>
      <c r="AE133" s="27"/>
      <c r="AF133" s="27"/>
      <c r="AG133" s="27"/>
      <c r="AH133" s="27"/>
    </row>
    <row r="134" spans="1:34" x14ac:dyDescent="0.4">
      <c r="A134" s="28">
        <v>46139</v>
      </c>
      <c r="B134" s="28"/>
      <c r="C134" s="27"/>
      <c r="D134" s="27"/>
      <c r="E134" s="27"/>
      <c r="F134" s="27"/>
      <c r="G134" s="27"/>
      <c r="H134" s="27"/>
      <c r="I134" s="29" t="str">
        <f t="shared" si="1"/>
        <v/>
      </c>
      <c r="J134" s="29"/>
      <c r="K134" s="29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4" t="str">
        <f>IF(ISNUMBER(MATCH(A134, 設定休日!$B$3:$B$50, 0)), 1, "")</f>
        <v/>
      </c>
      <c r="Z134" s="24"/>
      <c r="AA134" s="21"/>
      <c r="AB134" s="27"/>
      <c r="AC134" s="27"/>
      <c r="AD134" s="27"/>
      <c r="AE134" s="27"/>
      <c r="AF134" s="27"/>
      <c r="AG134" s="27"/>
      <c r="AH134" s="27"/>
    </row>
    <row r="135" spans="1:34" x14ac:dyDescent="0.4">
      <c r="A135" s="28">
        <v>46140</v>
      </c>
      <c r="B135" s="28"/>
      <c r="C135" s="27"/>
      <c r="D135" s="27"/>
      <c r="E135" s="27"/>
      <c r="F135" s="27"/>
      <c r="G135" s="27"/>
      <c r="H135" s="27"/>
      <c r="I135" s="29" t="str">
        <f t="shared" si="1"/>
        <v/>
      </c>
      <c r="J135" s="29"/>
      <c r="K135" s="29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4" t="str">
        <f>IF(ISNUMBER(MATCH(A135, 設定休日!$B$3:$B$50, 0)), 1, "")</f>
        <v/>
      </c>
      <c r="Z135" s="24"/>
      <c r="AA135" s="21"/>
      <c r="AB135" s="27"/>
      <c r="AC135" s="27"/>
      <c r="AD135" s="27"/>
      <c r="AE135" s="27"/>
      <c r="AF135" s="27"/>
      <c r="AG135" s="27"/>
      <c r="AH135" s="27"/>
    </row>
    <row r="136" spans="1:34" x14ac:dyDescent="0.4">
      <c r="A136" s="28">
        <v>46141</v>
      </c>
      <c r="B136" s="28"/>
      <c r="C136" s="27"/>
      <c r="D136" s="27"/>
      <c r="E136" s="27"/>
      <c r="F136" s="27"/>
      <c r="G136" s="27"/>
      <c r="H136" s="27"/>
      <c r="I136" s="29" t="str">
        <f t="shared" ref="I136:I199" si="2">IF(F136="","",F136-C136-TIME(1,0,0))</f>
        <v/>
      </c>
      <c r="J136" s="29"/>
      <c r="K136" s="29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4" t="str">
        <f>IF(ISNUMBER(MATCH(A136, 設定休日!$B$3:$B$50, 0)), 1, "")</f>
        <v/>
      </c>
      <c r="Z136" s="24"/>
      <c r="AA136" s="21"/>
      <c r="AB136" s="27"/>
      <c r="AC136" s="27"/>
      <c r="AD136" s="27"/>
      <c r="AE136" s="27"/>
      <c r="AF136" s="27"/>
      <c r="AG136" s="27"/>
      <c r="AH136" s="27"/>
    </row>
    <row r="137" spans="1:34" x14ac:dyDescent="0.4">
      <c r="A137" s="28">
        <v>46142</v>
      </c>
      <c r="B137" s="28"/>
      <c r="C137" s="27"/>
      <c r="D137" s="27"/>
      <c r="E137" s="27"/>
      <c r="F137" s="27"/>
      <c r="G137" s="27"/>
      <c r="H137" s="27"/>
      <c r="I137" s="29" t="str">
        <f t="shared" si="2"/>
        <v/>
      </c>
      <c r="J137" s="29"/>
      <c r="K137" s="29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4">
        <f>IF(ISNUMBER(MATCH(A137, 設定休日!$B$3:$B$50, 0)), 1, "")</f>
        <v>1</v>
      </c>
      <c r="Z137" s="24"/>
      <c r="AA137" s="21"/>
      <c r="AB137" s="27"/>
      <c r="AC137" s="27"/>
      <c r="AD137" s="27"/>
      <c r="AE137" s="27"/>
      <c r="AF137" s="27"/>
      <c r="AG137" s="27"/>
      <c r="AH137" s="27"/>
    </row>
    <row r="138" spans="1:34" x14ac:dyDescent="0.4">
      <c r="A138" s="28">
        <v>46143</v>
      </c>
      <c r="B138" s="28"/>
      <c r="C138" s="27"/>
      <c r="D138" s="27"/>
      <c r="E138" s="27"/>
      <c r="F138" s="27"/>
      <c r="G138" s="27"/>
      <c r="H138" s="27"/>
      <c r="I138" s="29" t="str">
        <f t="shared" si="2"/>
        <v/>
      </c>
      <c r="J138" s="29"/>
      <c r="K138" s="29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4">
        <f>IF(ISNUMBER(MATCH(A138, 設定休日!$B$3:$B$50, 0)), 1, "")</f>
        <v>1</v>
      </c>
      <c r="Z138" s="24"/>
      <c r="AA138" s="21"/>
      <c r="AB138" s="27"/>
      <c r="AC138" s="27"/>
      <c r="AD138" s="27"/>
      <c r="AE138" s="27"/>
      <c r="AF138" s="27"/>
      <c r="AG138" s="27"/>
      <c r="AH138" s="27"/>
    </row>
    <row r="139" spans="1:34" x14ac:dyDescent="0.4">
      <c r="A139" s="28">
        <v>46144</v>
      </c>
      <c r="B139" s="28"/>
      <c r="C139" s="27"/>
      <c r="D139" s="27"/>
      <c r="E139" s="27"/>
      <c r="F139" s="27"/>
      <c r="G139" s="27"/>
      <c r="H139" s="27"/>
      <c r="I139" s="29" t="str">
        <f t="shared" si="2"/>
        <v/>
      </c>
      <c r="J139" s="29"/>
      <c r="K139" s="29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4" t="str">
        <f>IF(ISNUMBER(MATCH(A139, 設定休日!$B$3:$B$50, 0)), 1, "")</f>
        <v/>
      </c>
      <c r="Z139" s="24"/>
      <c r="AA139" s="21"/>
      <c r="AB139" s="27"/>
      <c r="AC139" s="27"/>
      <c r="AD139" s="27"/>
      <c r="AE139" s="27"/>
      <c r="AF139" s="27"/>
      <c r="AG139" s="27"/>
      <c r="AH139" s="27"/>
    </row>
    <row r="140" spans="1:34" x14ac:dyDescent="0.4">
      <c r="A140" s="28">
        <v>46145</v>
      </c>
      <c r="B140" s="28"/>
      <c r="C140" s="27"/>
      <c r="D140" s="27"/>
      <c r="E140" s="27"/>
      <c r="F140" s="27"/>
      <c r="G140" s="27"/>
      <c r="H140" s="27"/>
      <c r="I140" s="29" t="str">
        <f t="shared" si="2"/>
        <v/>
      </c>
      <c r="J140" s="29"/>
      <c r="K140" s="29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4" t="str">
        <f>IF(ISNUMBER(MATCH(A140, 設定休日!$B$3:$B$50, 0)), 1, "")</f>
        <v/>
      </c>
      <c r="Z140" s="24"/>
      <c r="AA140" s="21"/>
      <c r="AB140" s="27"/>
      <c r="AC140" s="27"/>
      <c r="AD140" s="27"/>
      <c r="AE140" s="27"/>
      <c r="AF140" s="27"/>
      <c r="AG140" s="27"/>
      <c r="AH140" s="27"/>
    </row>
    <row r="141" spans="1:34" x14ac:dyDescent="0.4">
      <c r="A141" s="28">
        <v>46146</v>
      </c>
      <c r="B141" s="28"/>
      <c r="C141" s="27"/>
      <c r="D141" s="27"/>
      <c r="E141" s="27"/>
      <c r="F141" s="27"/>
      <c r="G141" s="27"/>
      <c r="H141" s="27"/>
      <c r="I141" s="29" t="str">
        <f t="shared" si="2"/>
        <v/>
      </c>
      <c r="J141" s="29"/>
      <c r="K141" s="29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4" t="str">
        <f>IF(ISNUMBER(MATCH(A141, 設定休日!$B$3:$B$50, 0)), 1, "")</f>
        <v/>
      </c>
      <c r="Z141" s="24"/>
      <c r="AA141" s="21"/>
      <c r="AB141" s="27"/>
      <c r="AC141" s="27"/>
      <c r="AD141" s="27"/>
      <c r="AE141" s="27"/>
      <c r="AF141" s="27"/>
      <c r="AG141" s="27"/>
      <c r="AH141" s="27"/>
    </row>
    <row r="142" spans="1:34" x14ac:dyDescent="0.4">
      <c r="A142" s="28">
        <v>46147</v>
      </c>
      <c r="B142" s="28"/>
      <c r="C142" s="27"/>
      <c r="D142" s="27"/>
      <c r="E142" s="27"/>
      <c r="F142" s="27"/>
      <c r="G142" s="27"/>
      <c r="H142" s="27"/>
      <c r="I142" s="29" t="str">
        <f t="shared" si="2"/>
        <v/>
      </c>
      <c r="J142" s="29"/>
      <c r="K142" s="29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4" t="str">
        <f>IF(ISNUMBER(MATCH(A142, 設定休日!$B$3:$B$50, 0)), 1, "")</f>
        <v/>
      </c>
      <c r="Z142" s="24"/>
      <c r="AA142" s="21"/>
      <c r="AB142" s="27"/>
      <c r="AC142" s="27"/>
      <c r="AD142" s="27"/>
      <c r="AE142" s="27"/>
      <c r="AF142" s="27"/>
      <c r="AG142" s="27"/>
      <c r="AH142" s="27"/>
    </row>
    <row r="143" spans="1:34" x14ac:dyDescent="0.4">
      <c r="A143" s="28">
        <v>46148</v>
      </c>
      <c r="B143" s="28"/>
      <c r="C143" s="27"/>
      <c r="D143" s="27"/>
      <c r="E143" s="27"/>
      <c r="F143" s="27"/>
      <c r="G143" s="27"/>
      <c r="H143" s="27"/>
      <c r="I143" s="29" t="str">
        <f t="shared" si="2"/>
        <v/>
      </c>
      <c r="J143" s="29"/>
      <c r="K143" s="29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4" t="str">
        <f>IF(ISNUMBER(MATCH(A143, 設定休日!$B$3:$B$50, 0)), 1, "")</f>
        <v/>
      </c>
      <c r="Z143" s="24"/>
      <c r="AA143" s="21"/>
      <c r="AB143" s="27"/>
      <c r="AC143" s="27"/>
      <c r="AD143" s="27"/>
      <c r="AE143" s="27"/>
      <c r="AF143" s="27"/>
      <c r="AG143" s="27"/>
      <c r="AH143" s="27"/>
    </row>
    <row r="144" spans="1:34" x14ac:dyDescent="0.4">
      <c r="A144" s="28">
        <v>46149</v>
      </c>
      <c r="B144" s="28"/>
      <c r="C144" s="27"/>
      <c r="D144" s="27"/>
      <c r="E144" s="27"/>
      <c r="F144" s="27"/>
      <c r="G144" s="27"/>
      <c r="H144" s="27"/>
      <c r="I144" s="29" t="str">
        <f t="shared" si="2"/>
        <v/>
      </c>
      <c r="J144" s="29"/>
      <c r="K144" s="29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4" t="str">
        <f>IF(ISNUMBER(MATCH(A144, 設定休日!$B$3:$B$50, 0)), 1, "")</f>
        <v/>
      </c>
      <c r="Z144" s="24"/>
      <c r="AA144" s="21"/>
      <c r="AB144" s="27"/>
      <c r="AC144" s="27"/>
      <c r="AD144" s="27"/>
      <c r="AE144" s="27"/>
      <c r="AF144" s="27"/>
      <c r="AG144" s="27"/>
      <c r="AH144" s="27"/>
    </row>
    <row r="145" spans="1:40" x14ac:dyDescent="0.4">
      <c r="A145" s="28">
        <v>46150</v>
      </c>
      <c r="B145" s="28"/>
      <c r="C145" s="27"/>
      <c r="D145" s="27"/>
      <c r="E145" s="27"/>
      <c r="F145" s="27"/>
      <c r="G145" s="27"/>
      <c r="H145" s="27"/>
      <c r="I145" s="29" t="str">
        <f t="shared" si="2"/>
        <v/>
      </c>
      <c r="J145" s="29"/>
      <c r="K145" s="29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4" t="str">
        <f>IF(ISNUMBER(MATCH(A145, 設定休日!$B$3:$B$50, 0)), 1, "")</f>
        <v/>
      </c>
      <c r="Z145" s="24"/>
      <c r="AA145" s="21"/>
      <c r="AB145" s="27"/>
      <c r="AC145" s="27"/>
      <c r="AD145" s="27"/>
      <c r="AE145" s="27"/>
      <c r="AF145" s="27"/>
      <c r="AG145" s="27"/>
      <c r="AH145" s="27"/>
    </row>
    <row r="146" spans="1:40" x14ac:dyDescent="0.4">
      <c r="A146" s="28">
        <v>46151</v>
      </c>
      <c r="B146" s="28"/>
      <c r="C146" s="27"/>
      <c r="D146" s="27"/>
      <c r="E146" s="27"/>
      <c r="F146" s="27"/>
      <c r="G146" s="27"/>
      <c r="H146" s="27"/>
      <c r="I146" s="29" t="str">
        <f t="shared" si="2"/>
        <v/>
      </c>
      <c r="J146" s="29"/>
      <c r="K146" s="29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4" t="str">
        <f>IF(ISNUMBER(MATCH(A146, 設定休日!$B$3:$B$50, 0)), 1, "")</f>
        <v/>
      </c>
      <c r="Z146" s="24"/>
      <c r="AA146" s="21"/>
      <c r="AB146" s="27"/>
      <c r="AC146" s="27"/>
      <c r="AD146" s="27"/>
      <c r="AE146" s="27"/>
      <c r="AF146" s="27"/>
      <c r="AG146" s="27"/>
      <c r="AH146" s="27"/>
    </row>
    <row r="147" spans="1:40" x14ac:dyDescent="0.4">
      <c r="A147" s="28">
        <v>46152</v>
      </c>
      <c r="B147" s="28"/>
      <c r="C147" s="27"/>
      <c r="D147" s="27"/>
      <c r="E147" s="27"/>
      <c r="F147" s="27"/>
      <c r="G147" s="27"/>
      <c r="H147" s="27"/>
      <c r="I147" s="29" t="str">
        <f t="shared" si="2"/>
        <v/>
      </c>
      <c r="J147" s="29"/>
      <c r="K147" s="29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4" t="str">
        <f>IF(ISNUMBER(MATCH(A147, 設定休日!$B$3:$B$50, 0)), 1, "")</f>
        <v/>
      </c>
      <c r="Z147" s="24"/>
      <c r="AA147" s="21"/>
      <c r="AB147" s="27"/>
      <c r="AC147" s="27"/>
      <c r="AD147" s="27"/>
      <c r="AE147" s="27"/>
      <c r="AF147" s="27"/>
      <c r="AG147" s="27"/>
      <c r="AH147" s="27"/>
    </row>
    <row r="148" spans="1:40" x14ac:dyDescent="0.4">
      <c r="A148" s="28">
        <v>46153</v>
      </c>
      <c r="B148" s="28"/>
      <c r="C148" s="27"/>
      <c r="D148" s="27"/>
      <c r="E148" s="27"/>
      <c r="F148" s="27"/>
      <c r="G148" s="27"/>
      <c r="H148" s="27"/>
      <c r="I148" s="29" t="str">
        <f t="shared" si="2"/>
        <v/>
      </c>
      <c r="J148" s="29"/>
      <c r="K148" s="29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4" t="str">
        <f>IF(ISNUMBER(MATCH(A148, 設定休日!$B$3:$B$50, 0)), 1, "")</f>
        <v/>
      </c>
      <c r="Z148" s="24"/>
      <c r="AA148" s="21"/>
      <c r="AB148" s="27"/>
      <c r="AC148" s="27"/>
      <c r="AD148" s="27"/>
      <c r="AE148" s="27"/>
      <c r="AF148" s="27"/>
      <c r="AG148" s="27"/>
      <c r="AH148" s="27"/>
    </row>
    <row r="149" spans="1:40" x14ac:dyDescent="0.4">
      <c r="A149" s="28">
        <v>46154</v>
      </c>
      <c r="B149" s="28"/>
      <c r="C149" s="27"/>
      <c r="D149" s="27"/>
      <c r="E149" s="27"/>
      <c r="F149" s="27"/>
      <c r="G149" s="27"/>
      <c r="H149" s="27"/>
      <c r="I149" s="29" t="str">
        <f t="shared" si="2"/>
        <v/>
      </c>
      <c r="J149" s="29"/>
      <c r="K149" s="29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4" t="str">
        <f>IF(ISNUMBER(MATCH(A149, 設定休日!$B$3:$B$50, 0)), 1, "")</f>
        <v/>
      </c>
      <c r="Z149" s="24"/>
      <c r="AA149" s="21"/>
      <c r="AB149" s="27"/>
      <c r="AC149" s="27"/>
      <c r="AD149" s="27"/>
      <c r="AE149" s="27"/>
      <c r="AF149" s="27"/>
      <c r="AG149" s="27"/>
      <c r="AH149" s="27"/>
    </row>
    <row r="150" spans="1:40" x14ac:dyDescent="0.4">
      <c r="A150" s="28">
        <v>46155</v>
      </c>
      <c r="B150" s="28"/>
      <c r="C150" s="27"/>
      <c r="D150" s="27"/>
      <c r="E150" s="27"/>
      <c r="F150" s="27"/>
      <c r="G150" s="27"/>
      <c r="H150" s="27"/>
      <c r="I150" s="29" t="str">
        <f t="shared" si="2"/>
        <v/>
      </c>
      <c r="J150" s="29"/>
      <c r="K150" s="29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4" t="str">
        <f>IF(ISNUMBER(MATCH(A150, 設定休日!$B$3:$B$50, 0)), 1, "")</f>
        <v/>
      </c>
      <c r="Z150" s="24"/>
      <c r="AA150" s="21"/>
      <c r="AB150" s="27"/>
      <c r="AC150" s="27"/>
      <c r="AD150" s="27"/>
      <c r="AE150" s="27"/>
      <c r="AF150" s="27"/>
      <c r="AG150" s="27"/>
      <c r="AH150" s="27"/>
      <c r="AI150" s="13">
        <f>MONTH(A150)</f>
        <v>5</v>
      </c>
      <c r="AJ150" s="11" t="s">
        <v>47</v>
      </c>
      <c r="AK150" s="11" t="s">
        <v>48</v>
      </c>
      <c r="AM150" s="9" t="s">
        <v>50</v>
      </c>
      <c r="AN150" s="9" t="s">
        <v>53</v>
      </c>
    </row>
    <row r="151" spans="1:40" x14ac:dyDescent="0.4">
      <c r="A151" s="28">
        <v>46156</v>
      </c>
      <c r="B151" s="28"/>
      <c r="C151" s="27"/>
      <c r="D151" s="27"/>
      <c r="E151" s="27"/>
      <c r="F151" s="27"/>
      <c r="G151" s="27"/>
      <c r="H151" s="27"/>
      <c r="I151" s="29" t="str">
        <f t="shared" si="2"/>
        <v/>
      </c>
      <c r="J151" s="29"/>
      <c r="K151" s="29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4" t="str">
        <f>IF(ISNUMBER(MATCH(A151, 設定休日!$B$3:$B$50, 0)), 1, "")</f>
        <v/>
      </c>
      <c r="Z151" s="24"/>
      <c r="AA151" s="21"/>
      <c r="AB151" s="27"/>
      <c r="AC151" s="27"/>
      <c r="AD151" s="27"/>
      <c r="AE151" s="27"/>
      <c r="AF151" s="27"/>
      <c r="AG151" s="27"/>
      <c r="AH151" s="27"/>
      <c r="AI151" s="14" t="s">
        <v>41</v>
      </c>
      <c r="AJ151" s="9">
        <f>AM151-AM152+1</f>
        <v>30</v>
      </c>
      <c r="AK151" s="9">
        <f>AJ151</f>
        <v>30</v>
      </c>
      <c r="AM151" s="9">
        <f>MATCH(DATE($A$4,AI150,20),A:A,0)</f>
        <v>157</v>
      </c>
      <c r="AN151" s="9" t="s">
        <v>51</v>
      </c>
    </row>
    <row r="152" spans="1:40" x14ac:dyDescent="0.4">
      <c r="A152" s="28">
        <v>46157</v>
      </c>
      <c r="B152" s="28"/>
      <c r="C152" s="27"/>
      <c r="D152" s="27"/>
      <c r="E152" s="27"/>
      <c r="F152" s="27"/>
      <c r="G152" s="27"/>
      <c r="H152" s="27"/>
      <c r="I152" s="29" t="str">
        <f t="shared" si="2"/>
        <v/>
      </c>
      <c r="J152" s="29"/>
      <c r="K152" s="29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4" t="str">
        <f>IF(ISNUMBER(MATCH(A152, 設定休日!$B$3:$B$50, 0)), 1, "")</f>
        <v/>
      </c>
      <c r="Z152" s="24"/>
      <c r="AA152" s="21"/>
      <c r="AB152" s="27"/>
      <c r="AC152" s="27"/>
      <c r="AD152" s="27"/>
      <c r="AE152" s="27"/>
      <c r="AF152" s="27"/>
      <c r="AG152" s="27"/>
      <c r="AH152" s="27"/>
      <c r="AI152" s="9" t="s">
        <v>42</v>
      </c>
      <c r="AJ152" s="9" cm="1">
        <f t="array" aca="1" ref="AJ152" ca="1">AJ151-SUMPRODUCT(COUNTIF(INDIRECT("A"&amp;AM151&amp;":A"&amp;AM152),祝日!B92:B139))+SUMPRODUCT(COUNTIF(INDIRECT("A"&amp;AM151&amp;":A"&amp;AM152),設定休日!B92:B139))</f>
        <v>30</v>
      </c>
      <c r="AK152" s="9">
        <f ca="1">AJ152</f>
        <v>30</v>
      </c>
      <c r="AM152" s="9">
        <f>MATCH(DATE(IF(MONTH(A133)=12,$A$4-1,$A$4),MONTH(A133),21),A:A,0)</f>
        <v>128</v>
      </c>
      <c r="AN152" s="9" t="s">
        <v>52</v>
      </c>
    </row>
    <row r="153" spans="1:40" x14ac:dyDescent="0.4">
      <c r="A153" s="28">
        <v>46158</v>
      </c>
      <c r="B153" s="28"/>
      <c r="C153" s="27"/>
      <c r="D153" s="27"/>
      <c r="E153" s="27"/>
      <c r="F153" s="27"/>
      <c r="G153" s="27"/>
      <c r="H153" s="27"/>
      <c r="I153" s="29" t="str">
        <f t="shared" si="2"/>
        <v/>
      </c>
      <c r="J153" s="29"/>
      <c r="K153" s="29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4" t="str">
        <f>IF(ISNUMBER(MATCH(A153, 設定休日!$B$3:$B$50, 0)), 1, "")</f>
        <v/>
      </c>
      <c r="Z153" s="24"/>
      <c r="AA153" s="21"/>
      <c r="AB153" s="27"/>
      <c r="AC153" s="27"/>
      <c r="AD153" s="27"/>
      <c r="AE153" s="27"/>
      <c r="AF153" s="27"/>
      <c r="AG153" s="27"/>
      <c r="AH153" s="27"/>
      <c r="AI153" s="9" t="s">
        <v>43</v>
      </c>
      <c r="AJ153" s="12">
        <f ca="1">AJ152*TIME(7,0,0)</f>
        <v>8.75</v>
      </c>
      <c r="AM153" s="9" t="s">
        <v>54</v>
      </c>
      <c r="AN153" s="9" t="s">
        <v>55</v>
      </c>
    </row>
    <row r="154" spans="1:40" x14ac:dyDescent="0.4">
      <c r="A154" s="28">
        <v>46159</v>
      </c>
      <c r="B154" s="28"/>
      <c r="C154" s="27"/>
      <c r="D154" s="27"/>
      <c r="E154" s="27"/>
      <c r="F154" s="27"/>
      <c r="G154" s="27"/>
      <c r="H154" s="27"/>
      <c r="I154" s="29" t="str">
        <f t="shared" si="2"/>
        <v/>
      </c>
      <c r="J154" s="29"/>
      <c r="K154" s="29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4" t="str">
        <f>IF(ISNUMBER(MATCH(A154, 設定休日!$B$3:$B$50, 0)), 1, "")</f>
        <v/>
      </c>
      <c r="Z154" s="24"/>
      <c r="AA154" s="21"/>
      <c r="AB154" s="27"/>
      <c r="AC154" s="27"/>
      <c r="AD154" s="27"/>
      <c r="AE154" s="27"/>
      <c r="AF154" s="27"/>
      <c r="AG154" s="27"/>
      <c r="AH154" s="27"/>
      <c r="AI154" s="9" t="s">
        <v>44</v>
      </c>
      <c r="AJ154" s="12">
        <f ca="1">SUM(INDIRECT("I"&amp;AM151&amp;":I"&amp;AM152))</f>
        <v>0</v>
      </c>
      <c r="AN154" s="9" t="s">
        <v>59</v>
      </c>
    </row>
    <row r="155" spans="1:40" x14ac:dyDescent="0.4">
      <c r="A155" s="28">
        <v>46160</v>
      </c>
      <c r="B155" s="28"/>
      <c r="C155" s="27"/>
      <c r="D155" s="27"/>
      <c r="E155" s="27"/>
      <c r="F155" s="27"/>
      <c r="G155" s="27"/>
      <c r="H155" s="27"/>
      <c r="I155" s="29" t="str">
        <f t="shared" si="2"/>
        <v/>
      </c>
      <c r="J155" s="29"/>
      <c r="K155" s="29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4" t="str">
        <f>IF(ISNUMBER(MATCH(A155, 設定休日!$B$3:$B$50, 0)), 1, "")</f>
        <v/>
      </c>
      <c r="Z155" s="24"/>
      <c r="AA155" s="21"/>
      <c r="AB155" s="27"/>
      <c r="AC155" s="27"/>
      <c r="AD155" s="27"/>
      <c r="AE155" s="27"/>
      <c r="AF155" s="27"/>
      <c r="AG155" s="27"/>
      <c r="AH155" s="27"/>
      <c r="AI155" s="9" t="s">
        <v>49</v>
      </c>
      <c r="AJ155" s="12" t="str">
        <f ca="1">IF(AJ154-AJ153&lt;=0,"",AJ154-AJ153)</f>
        <v/>
      </c>
    </row>
    <row r="156" spans="1:40" x14ac:dyDescent="0.4">
      <c r="A156" s="28">
        <v>46161</v>
      </c>
      <c r="B156" s="28"/>
      <c r="C156" s="27"/>
      <c r="D156" s="27"/>
      <c r="E156" s="27"/>
      <c r="F156" s="27"/>
      <c r="G156" s="27"/>
      <c r="H156" s="27"/>
      <c r="I156" s="29" t="str">
        <f t="shared" si="2"/>
        <v/>
      </c>
      <c r="J156" s="29"/>
      <c r="K156" s="29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4" t="str">
        <f>IF(ISNUMBER(MATCH(A156, 設定休日!$B$3:$B$50, 0)), 1, "")</f>
        <v/>
      </c>
      <c r="Z156" s="24"/>
      <c r="AA156" s="21"/>
      <c r="AB156" s="27"/>
      <c r="AC156" s="27"/>
      <c r="AD156" s="27"/>
      <c r="AE156" s="27"/>
      <c r="AF156" s="27"/>
      <c r="AG156" s="27"/>
      <c r="AH156" s="27"/>
      <c r="AI156" s="9" t="s">
        <v>45</v>
      </c>
      <c r="AJ156" s="9">
        <f ca="1">COUNTA(INDIRECT("Z"&amp;AM151&amp;":Z"&amp;AM152))</f>
        <v>0</v>
      </c>
      <c r="AK156" s="9" cm="1">
        <f t="array" ref="AK156">SUMPRODUCT( --(Z127:Z502&lt;&gt;""))</f>
        <v>1</v>
      </c>
    </row>
    <row r="157" spans="1:40" ht="19.5" thickBot="1" x14ac:dyDescent="0.45">
      <c r="A157" s="34">
        <v>46162</v>
      </c>
      <c r="B157" s="34"/>
      <c r="C157" s="30"/>
      <c r="D157" s="30"/>
      <c r="E157" s="30"/>
      <c r="F157" s="30"/>
      <c r="G157" s="30"/>
      <c r="H157" s="30"/>
      <c r="I157" s="35" t="str">
        <f t="shared" si="2"/>
        <v/>
      </c>
      <c r="J157" s="35"/>
      <c r="K157" s="35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25" t="str">
        <f>IF(ISNUMBER(MATCH(A157, 設定休日!$B$3:$B$50, 0)), 1, "")</f>
        <v/>
      </c>
      <c r="Z157" s="25"/>
      <c r="AA157" s="23"/>
      <c r="AB157" s="30"/>
      <c r="AC157" s="30"/>
      <c r="AD157" s="30"/>
      <c r="AE157" s="30"/>
      <c r="AF157" s="30"/>
      <c r="AG157" s="30"/>
      <c r="AH157" s="30"/>
      <c r="AI157" s="10" t="s">
        <v>46</v>
      </c>
      <c r="AJ157" s="10">
        <f ca="1">SUM(INDIRECT("AA"&amp;AM151&amp;":AA"&amp;AM152))</f>
        <v>0</v>
      </c>
      <c r="AK157" s="10">
        <f>SUM(AA127:AA502)</f>
        <v>0</v>
      </c>
      <c r="AL157" s="10"/>
      <c r="AM157" s="10"/>
    </row>
    <row r="158" spans="1:40" x14ac:dyDescent="0.4">
      <c r="A158" s="31">
        <v>46163</v>
      </c>
      <c r="B158" s="31"/>
      <c r="C158" s="32"/>
      <c r="D158" s="32"/>
      <c r="E158" s="32"/>
      <c r="F158" s="32"/>
      <c r="G158" s="32"/>
      <c r="H158" s="32"/>
      <c r="I158" s="33" t="str">
        <f t="shared" si="2"/>
        <v/>
      </c>
      <c r="J158" s="33"/>
      <c r="K158" s="33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26" t="str">
        <f>IF(ISNUMBER(MATCH(A158, 設定休日!$B$3:$B$50, 0)), 1, "")</f>
        <v/>
      </c>
      <c r="Z158" s="26"/>
      <c r="AA158" s="22"/>
      <c r="AB158" s="32"/>
      <c r="AC158" s="32"/>
      <c r="AD158" s="32"/>
      <c r="AE158" s="32"/>
      <c r="AF158" s="32"/>
      <c r="AG158" s="32"/>
      <c r="AH158" s="32"/>
    </row>
    <row r="159" spans="1:40" x14ac:dyDescent="0.4">
      <c r="A159" s="28">
        <v>46164</v>
      </c>
      <c r="B159" s="28"/>
      <c r="C159" s="27"/>
      <c r="D159" s="27"/>
      <c r="E159" s="27"/>
      <c r="F159" s="27"/>
      <c r="G159" s="27"/>
      <c r="H159" s="27"/>
      <c r="I159" s="29" t="str">
        <f t="shared" si="2"/>
        <v/>
      </c>
      <c r="J159" s="29"/>
      <c r="K159" s="29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4" t="str">
        <f>IF(ISNUMBER(MATCH(A159, 設定休日!$B$3:$B$50, 0)), 1, "")</f>
        <v/>
      </c>
      <c r="Z159" s="24"/>
      <c r="AA159" s="21"/>
      <c r="AB159" s="27"/>
      <c r="AC159" s="27"/>
      <c r="AD159" s="27"/>
      <c r="AE159" s="27"/>
      <c r="AF159" s="27"/>
      <c r="AG159" s="27"/>
      <c r="AH159" s="27"/>
    </row>
    <row r="160" spans="1:40" x14ac:dyDescent="0.4">
      <c r="A160" s="28">
        <v>46165</v>
      </c>
      <c r="B160" s="28"/>
      <c r="C160" s="27"/>
      <c r="D160" s="27"/>
      <c r="E160" s="27"/>
      <c r="F160" s="27"/>
      <c r="G160" s="27"/>
      <c r="H160" s="27"/>
      <c r="I160" s="29" t="str">
        <f t="shared" si="2"/>
        <v/>
      </c>
      <c r="J160" s="29"/>
      <c r="K160" s="29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4" t="str">
        <f>IF(ISNUMBER(MATCH(A160, 設定休日!$B$3:$B$50, 0)), 1, "")</f>
        <v/>
      </c>
      <c r="Z160" s="24"/>
      <c r="AA160" s="21"/>
      <c r="AB160" s="27"/>
      <c r="AC160" s="27"/>
      <c r="AD160" s="27"/>
      <c r="AE160" s="27"/>
      <c r="AF160" s="27"/>
      <c r="AG160" s="27"/>
      <c r="AH160" s="27"/>
    </row>
    <row r="161" spans="1:34" x14ac:dyDescent="0.4">
      <c r="A161" s="28">
        <v>46166</v>
      </c>
      <c r="B161" s="28"/>
      <c r="C161" s="27"/>
      <c r="D161" s="27"/>
      <c r="E161" s="27"/>
      <c r="F161" s="27"/>
      <c r="G161" s="27"/>
      <c r="H161" s="27"/>
      <c r="I161" s="29" t="str">
        <f t="shared" si="2"/>
        <v/>
      </c>
      <c r="J161" s="29"/>
      <c r="K161" s="29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4" t="str">
        <f>IF(ISNUMBER(MATCH(A161, 設定休日!$B$3:$B$50, 0)), 1, "")</f>
        <v/>
      </c>
      <c r="Z161" s="24"/>
      <c r="AA161" s="21"/>
      <c r="AB161" s="27"/>
      <c r="AC161" s="27"/>
      <c r="AD161" s="27"/>
      <c r="AE161" s="27"/>
      <c r="AF161" s="27"/>
      <c r="AG161" s="27"/>
      <c r="AH161" s="27"/>
    </row>
    <row r="162" spans="1:34" x14ac:dyDescent="0.4">
      <c r="A162" s="28">
        <v>46167</v>
      </c>
      <c r="B162" s="28"/>
      <c r="C162" s="27"/>
      <c r="D162" s="27"/>
      <c r="E162" s="27"/>
      <c r="F162" s="27"/>
      <c r="G162" s="27"/>
      <c r="H162" s="27"/>
      <c r="I162" s="29" t="str">
        <f t="shared" si="2"/>
        <v/>
      </c>
      <c r="J162" s="29"/>
      <c r="K162" s="29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4" t="str">
        <f>IF(ISNUMBER(MATCH(A162, 設定休日!$B$3:$B$50, 0)), 1, "")</f>
        <v/>
      </c>
      <c r="Z162" s="24"/>
      <c r="AA162" s="21"/>
      <c r="AB162" s="27"/>
      <c r="AC162" s="27"/>
      <c r="AD162" s="27"/>
      <c r="AE162" s="27"/>
      <c r="AF162" s="27"/>
      <c r="AG162" s="27"/>
      <c r="AH162" s="27"/>
    </row>
    <row r="163" spans="1:34" x14ac:dyDescent="0.4">
      <c r="A163" s="28">
        <v>46168</v>
      </c>
      <c r="B163" s="28"/>
      <c r="C163" s="27"/>
      <c r="D163" s="27"/>
      <c r="E163" s="27"/>
      <c r="F163" s="27"/>
      <c r="G163" s="27"/>
      <c r="H163" s="27"/>
      <c r="I163" s="29" t="str">
        <f t="shared" si="2"/>
        <v/>
      </c>
      <c r="J163" s="29"/>
      <c r="K163" s="29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4" t="str">
        <f>IF(ISNUMBER(MATCH(A163, 設定休日!$B$3:$B$50, 0)), 1, "")</f>
        <v/>
      </c>
      <c r="Z163" s="24"/>
      <c r="AA163" s="21"/>
      <c r="AB163" s="27"/>
      <c r="AC163" s="27"/>
      <c r="AD163" s="27"/>
      <c r="AE163" s="27"/>
      <c r="AF163" s="27"/>
      <c r="AG163" s="27"/>
      <c r="AH163" s="27"/>
    </row>
    <row r="164" spans="1:34" x14ac:dyDescent="0.4">
      <c r="A164" s="28">
        <v>46169</v>
      </c>
      <c r="B164" s="28"/>
      <c r="C164" s="27"/>
      <c r="D164" s="27"/>
      <c r="E164" s="27"/>
      <c r="F164" s="27"/>
      <c r="G164" s="27"/>
      <c r="H164" s="27"/>
      <c r="I164" s="29" t="str">
        <f t="shared" si="2"/>
        <v/>
      </c>
      <c r="J164" s="29"/>
      <c r="K164" s="29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4" t="str">
        <f>IF(ISNUMBER(MATCH(A164, 設定休日!$B$3:$B$50, 0)), 1, "")</f>
        <v/>
      </c>
      <c r="Z164" s="24"/>
      <c r="AA164" s="21"/>
      <c r="AB164" s="27"/>
      <c r="AC164" s="27"/>
      <c r="AD164" s="27"/>
      <c r="AE164" s="27"/>
      <c r="AF164" s="27"/>
      <c r="AG164" s="27"/>
      <c r="AH164" s="27"/>
    </row>
    <row r="165" spans="1:34" x14ac:dyDescent="0.4">
      <c r="A165" s="28">
        <v>46170</v>
      </c>
      <c r="B165" s="28"/>
      <c r="C165" s="27"/>
      <c r="D165" s="27"/>
      <c r="E165" s="27"/>
      <c r="F165" s="27"/>
      <c r="G165" s="27"/>
      <c r="H165" s="27"/>
      <c r="I165" s="29" t="str">
        <f t="shared" si="2"/>
        <v/>
      </c>
      <c r="J165" s="29"/>
      <c r="K165" s="29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4" t="str">
        <f>IF(ISNUMBER(MATCH(A165, 設定休日!$B$3:$B$50, 0)), 1, "")</f>
        <v/>
      </c>
      <c r="Z165" s="24"/>
      <c r="AA165" s="21"/>
      <c r="AB165" s="27"/>
      <c r="AC165" s="27"/>
      <c r="AD165" s="27"/>
      <c r="AE165" s="27"/>
      <c r="AF165" s="27"/>
      <c r="AG165" s="27"/>
      <c r="AH165" s="27"/>
    </row>
    <row r="166" spans="1:34" x14ac:dyDescent="0.4">
      <c r="A166" s="28">
        <v>46171</v>
      </c>
      <c r="B166" s="28"/>
      <c r="C166" s="27"/>
      <c r="D166" s="27"/>
      <c r="E166" s="27"/>
      <c r="F166" s="27"/>
      <c r="G166" s="27"/>
      <c r="H166" s="27"/>
      <c r="I166" s="29" t="str">
        <f t="shared" si="2"/>
        <v/>
      </c>
      <c r="J166" s="29"/>
      <c r="K166" s="29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4" t="str">
        <f>IF(ISNUMBER(MATCH(A166, 設定休日!$B$3:$B$50, 0)), 1, "")</f>
        <v/>
      </c>
      <c r="Z166" s="24"/>
      <c r="AA166" s="21"/>
      <c r="AB166" s="27"/>
      <c r="AC166" s="27"/>
      <c r="AD166" s="27"/>
      <c r="AE166" s="27"/>
      <c r="AF166" s="27"/>
      <c r="AG166" s="27"/>
      <c r="AH166" s="27"/>
    </row>
    <row r="167" spans="1:34" x14ac:dyDescent="0.4">
      <c r="A167" s="28">
        <v>46172</v>
      </c>
      <c r="B167" s="28"/>
      <c r="C167" s="27"/>
      <c r="D167" s="27"/>
      <c r="E167" s="27"/>
      <c r="F167" s="27"/>
      <c r="G167" s="27"/>
      <c r="H167" s="27"/>
      <c r="I167" s="29" t="str">
        <f t="shared" si="2"/>
        <v/>
      </c>
      <c r="J167" s="29"/>
      <c r="K167" s="29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4" t="str">
        <f>IF(ISNUMBER(MATCH(A167, 設定休日!$B$3:$B$50, 0)), 1, "")</f>
        <v/>
      </c>
      <c r="Z167" s="24"/>
      <c r="AA167" s="21"/>
      <c r="AB167" s="27"/>
      <c r="AC167" s="27"/>
      <c r="AD167" s="27"/>
      <c r="AE167" s="27"/>
      <c r="AF167" s="27"/>
      <c r="AG167" s="27"/>
      <c r="AH167" s="27"/>
    </row>
    <row r="168" spans="1:34" x14ac:dyDescent="0.4">
      <c r="A168" s="28">
        <v>46173</v>
      </c>
      <c r="B168" s="28"/>
      <c r="C168" s="27"/>
      <c r="D168" s="27"/>
      <c r="E168" s="27"/>
      <c r="F168" s="27"/>
      <c r="G168" s="27"/>
      <c r="H168" s="27"/>
      <c r="I168" s="29" t="str">
        <f t="shared" si="2"/>
        <v/>
      </c>
      <c r="J168" s="29"/>
      <c r="K168" s="29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4" t="str">
        <f>IF(ISNUMBER(MATCH(A168, 設定休日!$B$3:$B$50, 0)), 1, "")</f>
        <v/>
      </c>
      <c r="Z168" s="24"/>
      <c r="AA168" s="21"/>
      <c r="AB168" s="27"/>
      <c r="AC168" s="27"/>
      <c r="AD168" s="27"/>
      <c r="AE168" s="27"/>
      <c r="AF168" s="27"/>
      <c r="AG168" s="27"/>
      <c r="AH168" s="27"/>
    </row>
    <row r="169" spans="1:34" x14ac:dyDescent="0.4">
      <c r="A169" s="28">
        <v>46174</v>
      </c>
      <c r="B169" s="28"/>
      <c r="C169" s="27"/>
      <c r="D169" s="27"/>
      <c r="E169" s="27"/>
      <c r="F169" s="27"/>
      <c r="G169" s="27"/>
      <c r="H169" s="27"/>
      <c r="I169" s="29" t="str">
        <f t="shared" si="2"/>
        <v/>
      </c>
      <c r="J169" s="29"/>
      <c r="K169" s="29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4" t="str">
        <f>IF(ISNUMBER(MATCH(A169, 設定休日!$B$3:$B$50, 0)), 1, "")</f>
        <v/>
      </c>
      <c r="Z169" s="24"/>
      <c r="AA169" s="21"/>
      <c r="AB169" s="27"/>
      <c r="AC169" s="27"/>
      <c r="AD169" s="27"/>
      <c r="AE169" s="27"/>
      <c r="AF169" s="27"/>
      <c r="AG169" s="27"/>
      <c r="AH169" s="27"/>
    </row>
    <row r="170" spans="1:34" x14ac:dyDescent="0.4">
      <c r="A170" s="28">
        <v>46175</v>
      </c>
      <c r="B170" s="28"/>
      <c r="C170" s="27"/>
      <c r="D170" s="27"/>
      <c r="E170" s="27"/>
      <c r="F170" s="27"/>
      <c r="G170" s="27"/>
      <c r="H170" s="27"/>
      <c r="I170" s="29" t="str">
        <f t="shared" si="2"/>
        <v/>
      </c>
      <c r="J170" s="29"/>
      <c r="K170" s="29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4" t="str">
        <f>IF(ISNUMBER(MATCH(A170, 設定休日!$B$3:$B$50, 0)), 1, "")</f>
        <v/>
      </c>
      <c r="Z170" s="24"/>
      <c r="AA170" s="21"/>
      <c r="AB170" s="27"/>
      <c r="AC170" s="27"/>
      <c r="AD170" s="27"/>
      <c r="AE170" s="27"/>
      <c r="AF170" s="27"/>
      <c r="AG170" s="27"/>
      <c r="AH170" s="27"/>
    </row>
    <row r="171" spans="1:34" x14ac:dyDescent="0.4">
      <c r="A171" s="28">
        <v>46176</v>
      </c>
      <c r="B171" s="28"/>
      <c r="C171" s="27"/>
      <c r="D171" s="27"/>
      <c r="E171" s="27"/>
      <c r="F171" s="27"/>
      <c r="G171" s="27"/>
      <c r="H171" s="27"/>
      <c r="I171" s="29" t="str">
        <f t="shared" si="2"/>
        <v/>
      </c>
      <c r="J171" s="29"/>
      <c r="K171" s="29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4" t="str">
        <f>IF(ISNUMBER(MATCH(A171, 設定休日!$B$3:$B$50, 0)), 1, "")</f>
        <v/>
      </c>
      <c r="Z171" s="24"/>
      <c r="AA171" s="21"/>
      <c r="AB171" s="27"/>
      <c r="AC171" s="27"/>
      <c r="AD171" s="27"/>
      <c r="AE171" s="27"/>
      <c r="AF171" s="27"/>
      <c r="AG171" s="27"/>
      <c r="AH171" s="27"/>
    </row>
    <row r="172" spans="1:34" x14ac:dyDescent="0.4">
      <c r="A172" s="28">
        <v>46177</v>
      </c>
      <c r="B172" s="28"/>
      <c r="C172" s="27"/>
      <c r="D172" s="27"/>
      <c r="E172" s="27"/>
      <c r="F172" s="27"/>
      <c r="G172" s="27"/>
      <c r="H172" s="27"/>
      <c r="I172" s="29" t="str">
        <f t="shared" si="2"/>
        <v/>
      </c>
      <c r="J172" s="29"/>
      <c r="K172" s="29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4" t="str">
        <f>IF(ISNUMBER(MATCH(A172, 設定休日!$B$3:$B$50, 0)), 1, "")</f>
        <v/>
      </c>
      <c r="Z172" s="24"/>
      <c r="AA172" s="21"/>
      <c r="AB172" s="27"/>
      <c r="AC172" s="27"/>
      <c r="AD172" s="27"/>
      <c r="AE172" s="27"/>
      <c r="AF172" s="27"/>
      <c r="AG172" s="27"/>
      <c r="AH172" s="27"/>
    </row>
    <row r="173" spans="1:34" x14ac:dyDescent="0.4">
      <c r="A173" s="28">
        <v>46178</v>
      </c>
      <c r="B173" s="28"/>
      <c r="C173" s="27"/>
      <c r="D173" s="27"/>
      <c r="E173" s="27"/>
      <c r="F173" s="27"/>
      <c r="G173" s="27"/>
      <c r="H173" s="27"/>
      <c r="I173" s="29" t="str">
        <f t="shared" si="2"/>
        <v/>
      </c>
      <c r="J173" s="29"/>
      <c r="K173" s="29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4" t="str">
        <f>IF(ISNUMBER(MATCH(A173, 設定休日!$B$3:$B$50, 0)), 1, "")</f>
        <v/>
      </c>
      <c r="Z173" s="24"/>
      <c r="AA173" s="21"/>
      <c r="AB173" s="27"/>
      <c r="AC173" s="27"/>
      <c r="AD173" s="27"/>
      <c r="AE173" s="27"/>
      <c r="AF173" s="27"/>
      <c r="AG173" s="27"/>
      <c r="AH173" s="27"/>
    </row>
    <row r="174" spans="1:34" x14ac:dyDescent="0.4">
      <c r="A174" s="28">
        <v>46179</v>
      </c>
      <c r="B174" s="28"/>
      <c r="C174" s="27"/>
      <c r="D174" s="27"/>
      <c r="E174" s="27"/>
      <c r="F174" s="27"/>
      <c r="G174" s="27"/>
      <c r="H174" s="27"/>
      <c r="I174" s="29" t="str">
        <f t="shared" si="2"/>
        <v/>
      </c>
      <c r="J174" s="29"/>
      <c r="K174" s="29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4" t="str">
        <f>IF(ISNUMBER(MATCH(A174, 設定休日!$B$3:$B$50, 0)), 1, "")</f>
        <v/>
      </c>
      <c r="Z174" s="24"/>
      <c r="AA174" s="21"/>
      <c r="AB174" s="27"/>
      <c r="AC174" s="27"/>
      <c r="AD174" s="27"/>
      <c r="AE174" s="27"/>
      <c r="AF174" s="27"/>
      <c r="AG174" s="27"/>
      <c r="AH174" s="27"/>
    </row>
    <row r="175" spans="1:34" x14ac:dyDescent="0.4">
      <c r="A175" s="28">
        <v>46180</v>
      </c>
      <c r="B175" s="28"/>
      <c r="C175" s="27"/>
      <c r="D175" s="27"/>
      <c r="E175" s="27"/>
      <c r="F175" s="27"/>
      <c r="G175" s="27"/>
      <c r="H175" s="27"/>
      <c r="I175" s="29" t="str">
        <f t="shared" si="2"/>
        <v/>
      </c>
      <c r="J175" s="29"/>
      <c r="K175" s="29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4" t="str">
        <f>IF(ISNUMBER(MATCH(A175, 設定休日!$B$3:$B$50, 0)), 1, "")</f>
        <v/>
      </c>
      <c r="Z175" s="24"/>
      <c r="AA175" s="21"/>
      <c r="AB175" s="27"/>
      <c r="AC175" s="27"/>
      <c r="AD175" s="27"/>
      <c r="AE175" s="27"/>
      <c r="AF175" s="27"/>
      <c r="AG175" s="27"/>
      <c r="AH175" s="27"/>
    </row>
    <row r="176" spans="1:34" x14ac:dyDescent="0.4">
      <c r="A176" s="28">
        <v>46181</v>
      </c>
      <c r="B176" s="28"/>
      <c r="C176" s="27"/>
      <c r="D176" s="27"/>
      <c r="E176" s="27"/>
      <c r="F176" s="27"/>
      <c r="G176" s="27"/>
      <c r="H176" s="27"/>
      <c r="I176" s="29" t="str">
        <f t="shared" si="2"/>
        <v/>
      </c>
      <c r="J176" s="29"/>
      <c r="K176" s="29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4">
        <f>IF(ISNUMBER(MATCH(A176, 設定休日!$B$3:$B$50, 0)), 1, "")</f>
        <v>1</v>
      </c>
      <c r="Z176" s="24"/>
      <c r="AA176" s="21"/>
      <c r="AB176" s="27"/>
      <c r="AC176" s="27"/>
      <c r="AD176" s="27"/>
      <c r="AE176" s="27"/>
      <c r="AF176" s="27"/>
      <c r="AG176" s="27"/>
      <c r="AH176" s="27"/>
    </row>
    <row r="177" spans="1:40" x14ac:dyDescent="0.4">
      <c r="A177" s="28">
        <v>46182</v>
      </c>
      <c r="B177" s="28"/>
      <c r="C177" s="27"/>
      <c r="D177" s="27"/>
      <c r="E177" s="27"/>
      <c r="F177" s="27"/>
      <c r="G177" s="27"/>
      <c r="H177" s="27"/>
      <c r="I177" s="29" t="str">
        <f t="shared" si="2"/>
        <v/>
      </c>
      <c r="J177" s="29"/>
      <c r="K177" s="29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4" t="str">
        <f>IF(ISNUMBER(MATCH(A177, 設定休日!$B$3:$B$50, 0)), 1, "")</f>
        <v/>
      </c>
      <c r="Z177" s="24"/>
      <c r="AA177" s="21"/>
      <c r="AB177" s="27"/>
      <c r="AC177" s="27"/>
      <c r="AD177" s="27"/>
      <c r="AE177" s="27"/>
      <c r="AF177" s="27"/>
      <c r="AG177" s="27"/>
      <c r="AH177" s="27"/>
    </row>
    <row r="178" spans="1:40" x14ac:dyDescent="0.4">
      <c r="A178" s="28">
        <v>46183</v>
      </c>
      <c r="B178" s="28"/>
      <c r="C178" s="27"/>
      <c r="D178" s="27"/>
      <c r="E178" s="27"/>
      <c r="F178" s="27"/>
      <c r="G178" s="27"/>
      <c r="H178" s="27"/>
      <c r="I178" s="29" t="str">
        <f t="shared" si="2"/>
        <v/>
      </c>
      <c r="J178" s="29"/>
      <c r="K178" s="29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4" t="str">
        <f>IF(ISNUMBER(MATCH(A178, 設定休日!$B$3:$B$50, 0)), 1, "")</f>
        <v/>
      </c>
      <c r="Z178" s="24"/>
      <c r="AA178" s="21"/>
      <c r="AB178" s="27"/>
      <c r="AC178" s="27"/>
      <c r="AD178" s="27"/>
      <c r="AE178" s="27"/>
      <c r="AF178" s="27"/>
      <c r="AG178" s="27"/>
      <c r="AH178" s="27"/>
    </row>
    <row r="179" spans="1:40" x14ac:dyDescent="0.4">
      <c r="A179" s="28">
        <v>46184</v>
      </c>
      <c r="B179" s="28"/>
      <c r="C179" s="27"/>
      <c r="D179" s="27"/>
      <c r="E179" s="27"/>
      <c r="F179" s="27"/>
      <c r="G179" s="27"/>
      <c r="H179" s="27"/>
      <c r="I179" s="29" t="str">
        <f t="shared" si="2"/>
        <v/>
      </c>
      <c r="J179" s="29"/>
      <c r="K179" s="29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4" t="str">
        <f>IF(ISNUMBER(MATCH(A179, 設定休日!$B$3:$B$50, 0)), 1, "")</f>
        <v/>
      </c>
      <c r="Z179" s="24"/>
      <c r="AA179" s="21"/>
      <c r="AB179" s="27"/>
      <c r="AC179" s="27"/>
      <c r="AD179" s="27"/>
      <c r="AE179" s="27"/>
      <c r="AF179" s="27"/>
      <c r="AG179" s="27"/>
      <c r="AH179" s="27"/>
    </row>
    <row r="180" spans="1:40" x14ac:dyDescent="0.4">
      <c r="A180" s="28">
        <v>46185</v>
      </c>
      <c r="B180" s="28"/>
      <c r="C180" s="27"/>
      <c r="D180" s="27"/>
      <c r="E180" s="27"/>
      <c r="F180" s="27"/>
      <c r="G180" s="27"/>
      <c r="H180" s="27"/>
      <c r="I180" s="29" t="str">
        <f t="shared" si="2"/>
        <v/>
      </c>
      <c r="J180" s="29"/>
      <c r="K180" s="29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4" t="str">
        <f>IF(ISNUMBER(MATCH(A180, 設定休日!$B$3:$B$50, 0)), 1, "")</f>
        <v/>
      </c>
      <c r="Z180" s="24"/>
      <c r="AA180" s="21"/>
      <c r="AB180" s="27"/>
      <c r="AC180" s="27"/>
      <c r="AD180" s="27"/>
      <c r="AE180" s="27"/>
      <c r="AF180" s="27"/>
      <c r="AG180" s="27"/>
      <c r="AH180" s="27"/>
    </row>
    <row r="181" spans="1:40" x14ac:dyDescent="0.4">
      <c r="A181" s="28">
        <v>46186</v>
      </c>
      <c r="B181" s="28"/>
      <c r="C181" s="27"/>
      <c r="D181" s="27"/>
      <c r="E181" s="27"/>
      <c r="F181" s="27"/>
      <c r="G181" s="27"/>
      <c r="H181" s="27"/>
      <c r="I181" s="29" t="str">
        <f t="shared" si="2"/>
        <v/>
      </c>
      <c r="J181" s="29"/>
      <c r="K181" s="29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4" t="str">
        <f>IF(ISNUMBER(MATCH(A181, 設定休日!$B$3:$B$50, 0)), 1, "")</f>
        <v/>
      </c>
      <c r="Z181" s="24"/>
      <c r="AA181" s="21"/>
      <c r="AB181" s="27"/>
      <c r="AC181" s="27"/>
      <c r="AD181" s="27"/>
      <c r="AE181" s="27"/>
      <c r="AF181" s="27"/>
      <c r="AG181" s="27"/>
      <c r="AH181" s="27"/>
      <c r="AI181" s="13">
        <f>MONTH(A181)</f>
        <v>6</v>
      </c>
      <c r="AJ181" s="11" t="s">
        <v>47</v>
      </c>
      <c r="AK181" s="11" t="s">
        <v>48</v>
      </c>
      <c r="AM181" s="9" t="s">
        <v>50</v>
      </c>
      <c r="AN181" s="9" t="s">
        <v>53</v>
      </c>
    </row>
    <row r="182" spans="1:40" x14ac:dyDescent="0.4">
      <c r="A182" s="28">
        <v>46187</v>
      </c>
      <c r="B182" s="28"/>
      <c r="C182" s="27"/>
      <c r="D182" s="27"/>
      <c r="E182" s="27"/>
      <c r="F182" s="27"/>
      <c r="G182" s="27"/>
      <c r="H182" s="27"/>
      <c r="I182" s="29" t="str">
        <f t="shared" si="2"/>
        <v/>
      </c>
      <c r="J182" s="29"/>
      <c r="K182" s="29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4" t="str">
        <f>IF(ISNUMBER(MATCH(A182, 設定休日!$B$3:$B$50, 0)), 1, "")</f>
        <v/>
      </c>
      <c r="Z182" s="24"/>
      <c r="AA182" s="21"/>
      <c r="AB182" s="27"/>
      <c r="AC182" s="27"/>
      <c r="AD182" s="27"/>
      <c r="AE182" s="27"/>
      <c r="AF182" s="27"/>
      <c r="AG182" s="27"/>
      <c r="AH182" s="27"/>
      <c r="AI182" s="14" t="s">
        <v>41</v>
      </c>
      <c r="AJ182" s="9">
        <f>AM182-AM183+1</f>
        <v>31</v>
      </c>
      <c r="AK182" s="9">
        <f>AJ182</f>
        <v>31</v>
      </c>
      <c r="AM182" s="9">
        <f>MATCH(DATE($A$4,AI181,20),A:A,0)</f>
        <v>188</v>
      </c>
      <c r="AN182" s="9" t="s">
        <v>51</v>
      </c>
    </row>
    <row r="183" spans="1:40" x14ac:dyDescent="0.4">
      <c r="A183" s="28">
        <v>46188</v>
      </c>
      <c r="B183" s="28"/>
      <c r="C183" s="27"/>
      <c r="D183" s="27"/>
      <c r="E183" s="27"/>
      <c r="F183" s="27"/>
      <c r="G183" s="27"/>
      <c r="H183" s="27"/>
      <c r="I183" s="29" t="str">
        <f t="shared" si="2"/>
        <v/>
      </c>
      <c r="J183" s="29"/>
      <c r="K183" s="29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4" t="str">
        <f>IF(ISNUMBER(MATCH(A183, 設定休日!$B$3:$B$50, 0)), 1, "")</f>
        <v/>
      </c>
      <c r="Z183" s="24"/>
      <c r="AA183" s="21"/>
      <c r="AB183" s="27"/>
      <c r="AC183" s="27"/>
      <c r="AD183" s="27"/>
      <c r="AE183" s="27"/>
      <c r="AF183" s="27"/>
      <c r="AG183" s="27"/>
      <c r="AH183" s="27"/>
      <c r="AI183" s="9" t="s">
        <v>42</v>
      </c>
      <c r="AJ183" s="9" cm="1">
        <f t="array" aca="1" ref="AJ183" ca="1">AJ182-SUMPRODUCT(COUNTIF(INDIRECT("A"&amp;AM182&amp;":A"&amp;AM183),祝日!B123:B170))+SUMPRODUCT(COUNTIF(INDIRECT("A"&amp;AM182&amp;":A"&amp;AM183),設定休日!B123:B170))</f>
        <v>31</v>
      </c>
      <c r="AK183" s="9">
        <f ca="1">AJ183</f>
        <v>31</v>
      </c>
      <c r="AM183" s="9">
        <f>MATCH(DATE(IF(MONTH(A164)=12,$A$4-1,$A$4),MONTH(A164),21),A:A,0)</f>
        <v>158</v>
      </c>
      <c r="AN183" s="9" t="s">
        <v>52</v>
      </c>
    </row>
    <row r="184" spans="1:40" x14ac:dyDescent="0.4">
      <c r="A184" s="28">
        <v>46189</v>
      </c>
      <c r="B184" s="28"/>
      <c r="C184" s="27"/>
      <c r="D184" s="27"/>
      <c r="E184" s="27"/>
      <c r="F184" s="27"/>
      <c r="G184" s="27"/>
      <c r="H184" s="27"/>
      <c r="I184" s="29" t="str">
        <f t="shared" si="2"/>
        <v/>
      </c>
      <c r="J184" s="29"/>
      <c r="K184" s="29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4" t="str">
        <f>IF(ISNUMBER(MATCH(A184, 設定休日!$B$3:$B$50, 0)), 1, "")</f>
        <v/>
      </c>
      <c r="Z184" s="24"/>
      <c r="AA184" s="21"/>
      <c r="AB184" s="27"/>
      <c r="AC184" s="27"/>
      <c r="AD184" s="27"/>
      <c r="AE184" s="27"/>
      <c r="AF184" s="27"/>
      <c r="AG184" s="27"/>
      <c r="AH184" s="27"/>
      <c r="AI184" s="9" t="s">
        <v>43</v>
      </c>
      <c r="AJ184" s="12">
        <f ca="1">AJ183*TIME(7,0,0)</f>
        <v>9.0416666666666679</v>
      </c>
      <c r="AM184" s="9" t="s">
        <v>54</v>
      </c>
      <c r="AN184" s="9" t="s">
        <v>55</v>
      </c>
    </row>
    <row r="185" spans="1:40" x14ac:dyDescent="0.4">
      <c r="A185" s="28">
        <v>46190</v>
      </c>
      <c r="B185" s="28"/>
      <c r="C185" s="27"/>
      <c r="D185" s="27"/>
      <c r="E185" s="27"/>
      <c r="F185" s="27"/>
      <c r="G185" s="27"/>
      <c r="H185" s="27"/>
      <c r="I185" s="29" t="str">
        <f t="shared" si="2"/>
        <v/>
      </c>
      <c r="J185" s="29"/>
      <c r="K185" s="29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4" t="str">
        <f>IF(ISNUMBER(MATCH(A185, 設定休日!$B$3:$B$50, 0)), 1, "")</f>
        <v/>
      </c>
      <c r="Z185" s="24"/>
      <c r="AA185" s="21"/>
      <c r="AB185" s="27"/>
      <c r="AC185" s="27"/>
      <c r="AD185" s="27"/>
      <c r="AE185" s="27"/>
      <c r="AF185" s="27"/>
      <c r="AG185" s="27"/>
      <c r="AH185" s="27"/>
      <c r="AI185" s="9" t="s">
        <v>44</v>
      </c>
      <c r="AJ185" s="12">
        <f ca="1">SUM(INDIRECT("I"&amp;AM182&amp;":I"&amp;AM183))</f>
        <v>0</v>
      </c>
      <c r="AN185" s="9" t="s">
        <v>59</v>
      </c>
    </row>
    <row r="186" spans="1:40" x14ac:dyDescent="0.4">
      <c r="A186" s="28">
        <v>46191</v>
      </c>
      <c r="B186" s="28"/>
      <c r="C186" s="27"/>
      <c r="D186" s="27"/>
      <c r="E186" s="27"/>
      <c r="F186" s="27"/>
      <c r="G186" s="27"/>
      <c r="H186" s="27"/>
      <c r="I186" s="29" t="str">
        <f t="shared" si="2"/>
        <v/>
      </c>
      <c r="J186" s="29"/>
      <c r="K186" s="29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4" t="str">
        <f>IF(ISNUMBER(MATCH(A186, 設定休日!$B$3:$B$50, 0)), 1, "")</f>
        <v/>
      </c>
      <c r="Z186" s="24"/>
      <c r="AA186" s="21"/>
      <c r="AB186" s="27"/>
      <c r="AC186" s="27"/>
      <c r="AD186" s="27"/>
      <c r="AE186" s="27"/>
      <c r="AF186" s="27"/>
      <c r="AG186" s="27"/>
      <c r="AH186" s="27"/>
      <c r="AI186" s="9" t="s">
        <v>49</v>
      </c>
      <c r="AJ186" s="12" t="str">
        <f ca="1">IF(AJ185-AJ184&lt;=0,"",AJ185-AJ184)</f>
        <v/>
      </c>
    </row>
    <row r="187" spans="1:40" x14ac:dyDescent="0.4">
      <c r="A187" s="28">
        <v>46192</v>
      </c>
      <c r="B187" s="28"/>
      <c r="C187" s="27"/>
      <c r="D187" s="27"/>
      <c r="E187" s="27"/>
      <c r="F187" s="27"/>
      <c r="G187" s="27"/>
      <c r="H187" s="27"/>
      <c r="I187" s="29" t="str">
        <f t="shared" si="2"/>
        <v/>
      </c>
      <c r="J187" s="29"/>
      <c r="K187" s="29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4" t="str">
        <f>IF(ISNUMBER(MATCH(A187, 設定休日!$B$3:$B$50, 0)), 1, "")</f>
        <v/>
      </c>
      <c r="Z187" s="24"/>
      <c r="AA187" s="21"/>
      <c r="AB187" s="27"/>
      <c r="AC187" s="27"/>
      <c r="AD187" s="27"/>
      <c r="AE187" s="27"/>
      <c r="AF187" s="27"/>
      <c r="AG187" s="27"/>
      <c r="AH187" s="27"/>
      <c r="AI187" s="9" t="s">
        <v>45</v>
      </c>
      <c r="AJ187" s="9">
        <f ca="1">COUNTA(INDIRECT("Z"&amp;AM182&amp;":Z"&amp;AM183))</f>
        <v>0</v>
      </c>
      <c r="AK187" s="9" cm="1">
        <f t="array" ref="AK187">SUMPRODUCT( --(Z158:Z533&lt;&gt;""))</f>
        <v>1</v>
      </c>
    </row>
    <row r="188" spans="1:40" ht="19.5" thickBot="1" x14ac:dyDescent="0.45">
      <c r="A188" s="34">
        <v>46193</v>
      </c>
      <c r="B188" s="34"/>
      <c r="C188" s="30"/>
      <c r="D188" s="30"/>
      <c r="E188" s="30"/>
      <c r="F188" s="30"/>
      <c r="G188" s="30"/>
      <c r="H188" s="30"/>
      <c r="I188" s="35" t="str">
        <f t="shared" si="2"/>
        <v/>
      </c>
      <c r="J188" s="35"/>
      <c r="K188" s="35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25" t="str">
        <f>IF(ISNUMBER(MATCH(A188, 設定休日!$B$3:$B$50, 0)), 1, "")</f>
        <v/>
      </c>
      <c r="Z188" s="25"/>
      <c r="AA188" s="23"/>
      <c r="AB188" s="30"/>
      <c r="AC188" s="30"/>
      <c r="AD188" s="30"/>
      <c r="AE188" s="30"/>
      <c r="AF188" s="30"/>
      <c r="AG188" s="30"/>
      <c r="AH188" s="30"/>
      <c r="AI188" s="10" t="s">
        <v>46</v>
      </c>
      <c r="AJ188" s="10">
        <f ca="1">SUM(INDIRECT("AA"&amp;AM182&amp;":AA"&amp;AM183))</f>
        <v>0</v>
      </c>
      <c r="AK188" s="10">
        <f>SUM(AA158:AA533)</f>
        <v>0</v>
      </c>
      <c r="AL188" s="10"/>
      <c r="AM188" s="10"/>
    </row>
    <row r="189" spans="1:40" x14ac:dyDescent="0.4">
      <c r="A189" s="31">
        <v>46194</v>
      </c>
      <c r="B189" s="31"/>
      <c r="C189" s="32"/>
      <c r="D189" s="32"/>
      <c r="E189" s="32"/>
      <c r="F189" s="32"/>
      <c r="G189" s="32"/>
      <c r="H189" s="32"/>
      <c r="I189" s="33" t="str">
        <f t="shared" si="2"/>
        <v/>
      </c>
      <c r="J189" s="33"/>
      <c r="K189" s="33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26" t="str">
        <f>IF(ISNUMBER(MATCH(A189, 設定休日!$B$3:$B$50, 0)), 1, "")</f>
        <v/>
      </c>
      <c r="Z189" s="26"/>
      <c r="AA189" s="22"/>
      <c r="AB189" s="32"/>
      <c r="AC189" s="32"/>
      <c r="AD189" s="32"/>
      <c r="AE189" s="32"/>
      <c r="AF189" s="32"/>
      <c r="AG189" s="32"/>
      <c r="AH189" s="32"/>
    </row>
    <row r="190" spans="1:40" x14ac:dyDescent="0.4">
      <c r="A190" s="28">
        <v>46195</v>
      </c>
      <c r="B190" s="28"/>
      <c r="C190" s="27"/>
      <c r="D190" s="27"/>
      <c r="E190" s="27"/>
      <c r="F190" s="27"/>
      <c r="G190" s="27"/>
      <c r="H190" s="27"/>
      <c r="I190" s="29" t="str">
        <f t="shared" si="2"/>
        <v/>
      </c>
      <c r="J190" s="29"/>
      <c r="K190" s="29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4">
        <f>IF(ISNUMBER(MATCH(A190, 設定休日!$B$3:$B$50, 0)), 1, "")</f>
        <v>1</v>
      </c>
      <c r="Z190" s="24"/>
      <c r="AA190" s="21"/>
      <c r="AB190" s="27"/>
      <c r="AC190" s="27"/>
      <c r="AD190" s="27"/>
      <c r="AE190" s="27"/>
      <c r="AF190" s="27"/>
      <c r="AG190" s="27"/>
      <c r="AH190" s="27"/>
    </row>
    <row r="191" spans="1:40" x14ac:dyDescent="0.4">
      <c r="A191" s="28">
        <v>46196</v>
      </c>
      <c r="B191" s="28"/>
      <c r="C191" s="27"/>
      <c r="D191" s="27"/>
      <c r="E191" s="27"/>
      <c r="F191" s="27"/>
      <c r="G191" s="27"/>
      <c r="H191" s="27"/>
      <c r="I191" s="29" t="str">
        <f t="shared" si="2"/>
        <v/>
      </c>
      <c r="J191" s="29"/>
      <c r="K191" s="29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4" t="str">
        <f>IF(ISNUMBER(MATCH(A191, 設定休日!$B$3:$B$50, 0)), 1, "")</f>
        <v/>
      </c>
      <c r="Z191" s="24"/>
      <c r="AA191" s="21"/>
      <c r="AB191" s="27"/>
      <c r="AC191" s="27"/>
      <c r="AD191" s="27"/>
      <c r="AE191" s="27"/>
      <c r="AF191" s="27"/>
      <c r="AG191" s="27"/>
      <c r="AH191" s="27"/>
    </row>
    <row r="192" spans="1:40" x14ac:dyDescent="0.4">
      <c r="A192" s="28">
        <v>46197</v>
      </c>
      <c r="B192" s="28"/>
      <c r="C192" s="27"/>
      <c r="D192" s="27"/>
      <c r="E192" s="27"/>
      <c r="F192" s="27"/>
      <c r="G192" s="27"/>
      <c r="H192" s="27"/>
      <c r="I192" s="29" t="str">
        <f t="shared" si="2"/>
        <v/>
      </c>
      <c r="J192" s="29"/>
      <c r="K192" s="29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4" t="str">
        <f>IF(ISNUMBER(MATCH(A192, 設定休日!$B$3:$B$50, 0)), 1, "")</f>
        <v/>
      </c>
      <c r="Z192" s="24"/>
      <c r="AA192" s="21"/>
      <c r="AB192" s="27"/>
      <c r="AC192" s="27"/>
      <c r="AD192" s="27"/>
      <c r="AE192" s="27"/>
      <c r="AF192" s="27"/>
      <c r="AG192" s="27"/>
      <c r="AH192" s="27"/>
    </row>
    <row r="193" spans="1:34" x14ac:dyDescent="0.4">
      <c r="A193" s="28">
        <v>46198</v>
      </c>
      <c r="B193" s="28"/>
      <c r="C193" s="27"/>
      <c r="D193" s="27"/>
      <c r="E193" s="27"/>
      <c r="F193" s="27"/>
      <c r="G193" s="27"/>
      <c r="H193" s="27"/>
      <c r="I193" s="29" t="str">
        <f t="shared" si="2"/>
        <v/>
      </c>
      <c r="J193" s="29"/>
      <c r="K193" s="29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4" t="str">
        <f>IF(ISNUMBER(MATCH(A193, 設定休日!$B$3:$B$50, 0)), 1, "")</f>
        <v/>
      </c>
      <c r="Z193" s="24"/>
      <c r="AA193" s="21"/>
      <c r="AB193" s="27"/>
      <c r="AC193" s="27"/>
      <c r="AD193" s="27"/>
      <c r="AE193" s="27"/>
      <c r="AF193" s="27"/>
      <c r="AG193" s="27"/>
      <c r="AH193" s="27"/>
    </row>
    <row r="194" spans="1:34" x14ac:dyDescent="0.4">
      <c r="A194" s="28">
        <v>46199</v>
      </c>
      <c r="B194" s="28"/>
      <c r="C194" s="27"/>
      <c r="D194" s="27"/>
      <c r="E194" s="27"/>
      <c r="F194" s="27"/>
      <c r="G194" s="27"/>
      <c r="H194" s="27"/>
      <c r="I194" s="29" t="str">
        <f t="shared" si="2"/>
        <v/>
      </c>
      <c r="J194" s="29"/>
      <c r="K194" s="29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4" t="str">
        <f>IF(ISNUMBER(MATCH(A194, 設定休日!$B$3:$B$50, 0)), 1, "")</f>
        <v/>
      </c>
      <c r="Z194" s="24"/>
      <c r="AA194" s="21"/>
      <c r="AB194" s="27"/>
      <c r="AC194" s="27"/>
      <c r="AD194" s="27"/>
      <c r="AE194" s="27"/>
      <c r="AF194" s="27"/>
      <c r="AG194" s="27"/>
      <c r="AH194" s="27"/>
    </row>
    <row r="195" spans="1:34" x14ac:dyDescent="0.4">
      <c r="A195" s="28">
        <v>46200</v>
      </c>
      <c r="B195" s="28"/>
      <c r="C195" s="27"/>
      <c r="D195" s="27"/>
      <c r="E195" s="27"/>
      <c r="F195" s="27"/>
      <c r="G195" s="27"/>
      <c r="H195" s="27"/>
      <c r="I195" s="29" t="str">
        <f t="shared" si="2"/>
        <v/>
      </c>
      <c r="J195" s="29"/>
      <c r="K195" s="29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4" t="str">
        <f>IF(ISNUMBER(MATCH(A195, 設定休日!$B$3:$B$50, 0)), 1, "")</f>
        <v/>
      </c>
      <c r="Z195" s="24"/>
      <c r="AA195" s="21"/>
      <c r="AB195" s="27"/>
      <c r="AC195" s="27"/>
      <c r="AD195" s="27"/>
      <c r="AE195" s="27"/>
      <c r="AF195" s="27"/>
      <c r="AG195" s="27"/>
      <c r="AH195" s="27"/>
    </row>
    <row r="196" spans="1:34" x14ac:dyDescent="0.4">
      <c r="A196" s="28">
        <v>46201</v>
      </c>
      <c r="B196" s="28"/>
      <c r="C196" s="27"/>
      <c r="D196" s="27"/>
      <c r="E196" s="27"/>
      <c r="F196" s="27"/>
      <c r="G196" s="27"/>
      <c r="H196" s="27"/>
      <c r="I196" s="29" t="str">
        <f t="shared" si="2"/>
        <v/>
      </c>
      <c r="J196" s="29"/>
      <c r="K196" s="29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4" t="str">
        <f>IF(ISNUMBER(MATCH(A196, 設定休日!$B$3:$B$50, 0)), 1, "")</f>
        <v/>
      </c>
      <c r="Z196" s="24"/>
      <c r="AA196" s="21"/>
      <c r="AB196" s="27"/>
      <c r="AC196" s="27"/>
      <c r="AD196" s="27"/>
      <c r="AE196" s="27"/>
      <c r="AF196" s="27"/>
      <c r="AG196" s="27"/>
      <c r="AH196" s="27"/>
    </row>
    <row r="197" spans="1:34" x14ac:dyDescent="0.4">
      <c r="A197" s="28">
        <v>46202</v>
      </c>
      <c r="B197" s="28"/>
      <c r="C197" s="27"/>
      <c r="D197" s="27"/>
      <c r="E197" s="27"/>
      <c r="F197" s="27"/>
      <c r="G197" s="27"/>
      <c r="H197" s="27"/>
      <c r="I197" s="29" t="str">
        <f t="shared" si="2"/>
        <v/>
      </c>
      <c r="J197" s="29"/>
      <c r="K197" s="29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4" t="str">
        <f>IF(ISNUMBER(MATCH(A197, 設定休日!$B$3:$B$50, 0)), 1, "")</f>
        <v/>
      </c>
      <c r="Z197" s="24"/>
      <c r="AA197" s="21"/>
      <c r="AB197" s="27"/>
      <c r="AC197" s="27"/>
      <c r="AD197" s="27"/>
      <c r="AE197" s="27"/>
      <c r="AF197" s="27"/>
      <c r="AG197" s="27"/>
      <c r="AH197" s="27"/>
    </row>
    <row r="198" spans="1:34" x14ac:dyDescent="0.4">
      <c r="A198" s="28">
        <v>46203</v>
      </c>
      <c r="B198" s="28"/>
      <c r="C198" s="27"/>
      <c r="D198" s="27"/>
      <c r="E198" s="27"/>
      <c r="F198" s="27"/>
      <c r="G198" s="27"/>
      <c r="H198" s="27"/>
      <c r="I198" s="29" t="str">
        <f t="shared" si="2"/>
        <v/>
      </c>
      <c r="J198" s="29"/>
      <c r="K198" s="29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4" t="str">
        <f>IF(ISNUMBER(MATCH(A198, 設定休日!$B$3:$B$50, 0)), 1, "")</f>
        <v/>
      </c>
      <c r="Z198" s="24"/>
      <c r="AA198" s="21"/>
      <c r="AB198" s="27"/>
      <c r="AC198" s="27"/>
      <c r="AD198" s="27"/>
      <c r="AE198" s="27"/>
      <c r="AF198" s="27"/>
      <c r="AG198" s="27"/>
      <c r="AH198" s="27"/>
    </row>
    <row r="199" spans="1:34" x14ac:dyDescent="0.4">
      <c r="A199" s="28">
        <v>46204</v>
      </c>
      <c r="B199" s="28"/>
      <c r="C199" s="27"/>
      <c r="D199" s="27"/>
      <c r="E199" s="27"/>
      <c r="F199" s="27"/>
      <c r="G199" s="27"/>
      <c r="H199" s="27"/>
      <c r="I199" s="29" t="str">
        <f t="shared" si="2"/>
        <v/>
      </c>
      <c r="J199" s="29"/>
      <c r="K199" s="29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4" t="str">
        <f>IF(ISNUMBER(MATCH(A199, 設定休日!$B$3:$B$50, 0)), 1, "")</f>
        <v/>
      </c>
      <c r="Z199" s="24"/>
      <c r="AA199" s="21"/>
      <c r="AB199" s="27"/>
      <c r="AC199" s="27"/>
      <c r="AD199" s="27"/>
      <c r="AE199" s="27"/>
      <c r="AF199" s="27"/>
      <c r="AG199" s="27"/>
      <c r="AH199" s="27"/>
    </row>
    <row r="200" spans="1:34" x14ac:dyDescent="0.4">
      <c r="A200" s="28">
        <v>46205</v>
      </c>
      <c r="B200" s="28"/>
      <c r="C200" s="27"/>
      <c r="D200" s="27"/>
      <c r="E200" s="27"/>
      <c r="F200" s="27"/>
      <c r="G200" s="27"/>
      <c r="H200" s="27"/>
      <c r="I200" s="29" t="str">
        <f t="shared" ref="I200:I263" si="3">IF(F200="","",F200-C200-TIME(1,0,0))</f>
        <v/>
      </c>
      <c r="J200" s="29"/>
      <c r="K200" s="29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4" t="str">
        <f>IF(ISNUMBER(MATCH(A200, 設定休日!$B$3:$B$50, 0)), 1, "")</f>
        <v/>
      </c>
      <c r="Z200" s="24"/>
      <c r="AA200" s="21"/>
      <c r="AB200" s="27"/>
      <c r="AC200" s="27"/>
      <c r="AD200" s="27"/>
      <c r="AE200" s="27"/>
      <c r="AF200" s="27"/>
      <c r="AG200" s="27"/>
      <c r="AH200" s="27"/>
    </row>
    <row r="201" spans="1:34" x14ac:dyDescent="0.4">
      <c r="A201" s="28">
        <v>46206</v>
      </c>
      <c r="B201" s="28"/>
      <c r="C201" s="27"/>
      <c r="D201" s="27"/>
      <c r="E201" s="27"/>
      <c r="F201" s="27"/>
      <c r="G201" s="27"/>
      <c r="H201" s="27"/>
      <c r="I201" s="29" t="str">
        <f t="shared" si="3"/>
        <v/>
      </c>
      <c r="J201" s="29"/>
      <c r="K201" s="29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4" t="str">
        <f>IF(ISNUMBER(MATCH(A201, 設定休日!$B$3:$B$50, 0)), 1, "")</f>
        <v/>
      </c>
      <c r="Z201" s="24"/>
      <c r="AA201" s="21"/>
      <c r="AB201" s="27"/>
      <c r="AC201" s="27"/>
      <c r="AD201" s="27"/>
      <c r="AE201" s="27"/>
      <c r="AF201" s="27"/>
      <c r="AG201" s="27"/>
      <c r="AH201" s="27"/>
    </row>
    <row r="202" spans="1:34" x14ac:dyDescent="0.4">
      <c r="A202" s="28">
        <v>46207</v>
      </c>
      <c r="B202" s="28"/>
      <c r="C202" s="27"/>
      <c r="D202" s="27"/>
      <c r="E202" s="27"/>
      <c r="F202" s="27"/>
      <c r="G202" s="27"/>
      <c r="H202" s="27"/>
      <c r="I202" s="29" t="str">
        <f t="shared" si="3"/>
        <v/>
      </c>
      <c r="J202" s="29"/>
      <c r="K202" s="29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4" t="str">
        <f>IF(ISNUMBER(MATCH(A202, 設定休日!$B$3:$B$50, 0)), 1, "")</f>
        <v/>
      </c>
      <c r="Z202" s="24"/>
      <c r="AA202" s="21"/>
      <c r="AB202" s="27"/>
      <c r="AC202" s="27"/>
      <c r="AD202" s="27"/>
      <c r="AE202" s="27"/>
      <c r="AF202" s="27"/>
      <c r="AG202" s="27"/>
      <c r="AH202" s="27"/>
    </row>
    <row r="203" spans="1:34" x14ac:dyDescent="0.4">
      <c r="A203" s="28">
        <v>46208</v>
      </c>
      <c r="B203" s="28"/>
      <c r="C203" s="27"/>
      <c r="D203" s="27"/>
      <c r="E203" s="27"/>
      <c r="F203" s="27"/>
      <c r="G203" s="27"/>
      <c r="H203" s="27"/>
      <c r="I203" s="29" t="str">
        <f t="shared" si="3"/>
        <v/>
      </c>
      <c r="J203" s="29"/>
      <c r="K203" s="29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4" t="str">
        <f>IF(ISNUMBER(MATCH(A203, 設定休日!$B$3:$B$50, 0)), 1, "")</f>
        <v/>
      </c>
      <c r="Z203" s="24"/>
      <c r="AA203" s="21"/>
      <c r="AB203" s="27"/>
      <c r="AC203" s="27"/>
      <c r="AD203" s="27"/>
      <c r="AE203" s="27"/>
      <c r="AF203" s="27"/>
      <c r="AG203" s="27"/>
      <c r="AH203" s="27"/>
    </row>
    <row r="204" spans="1:34" x14ac:dyDescent="0.4">
      <c r="A204" s="28">
        <v>46209</v>
      </c>
      <c r="B204" s="28"/>
      <c r="C204" s="27"/>
      <c r="D204" s="27"/>
      <c r="E204" s="27"/>
      <c r="F204" s="27"/>
      <c r="G204" s="27"/>
      <c r="H204" s="27"/>
      <c r="I204" s="29" t="str">
        <f t="shared" si="3"/>
        <v/>
      </c>
      <c r="J204" s="29"/>
      <c r="K204" s="29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4">
        <f>IF(ISNUMBER(MATCH(A204, 設定休日!$B$3:$B$50, 0)), 1, "")</f>
        <v>1</v>
      </c>
      <c r="Z204" s="24"/>
      <c r="AA204" s="21"/>
      <c r="AB204" s="27"/>
      <c r="AC204" s="27"/>
      <c r="AD204" s="27"/>
      <c r="AE204" s="27"/>
      <c r="AF204" s="27"/>
      <c r="AG204" s="27"/>
      <c r="AH204" s="27"/>
    </row>
    <row r="205" spans="1:34" x14ac:dyDescent="0.4">
      <c r="A205" s="28">
        <v>46210</v>
      </c>
      <c r="B205" s="28"/>
      <c r="C205" s="27"/>
      <c r="D205" s="27"/>
      <c r="E205" s="27"/>
      <c r="F205" s="27"/>
      <c r="G205" s="27"/>
      <c r="H205" s="27"/>
      <c r="I205" s="29" t="str">
        <f t="shared" si="3"/>
        <v/>
      </c>
      <c r="J205" s="29"/>
      <c r="K205" s="29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4" t="str">
        <f>IF(ISNUMBER(MATCH(A205, 設定休日!$B$3:$B$50, 0)), 1, "")</f>
        <v/>
      </c>
      <c r="Z205" s="24"/>
      <c r="AA205" s="21"/>
      <c r="AB205" s="27"/>
      <c r="AC205" s="27"/>
      <c r="AD205" s="27"/>
      <c r="AE205" s="27"/>
      <c r="AF205" s="27"/>
      <c r="AG205" s="27"/>
      <c r="AH205" s="27"/>
    </row>
    <row r="206" spans="1:34" x14ac:dyDescent="0.4">
      <c r="A206" s="28">
        <v>46211</v>
      </c>
      <c r="B206" s="28"/>
      <c r="C206" s="27"/>
      <c r="D206" s="27"/>
      <c r="E206" s="27"/>
      <c r="F206" s="27"/>
      <c r="G206" s="27"/>
      <c r="H206" s="27"/>
      <c r="I206" s="29" t="str">
        <f t="shared" si="3"/>
        <v/>
      </c>
      <c r="J206" s="29"/>
      <c r="K206" s="29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4" t="str">
        <f>IF(ISNUMBER(MATCH(A206, 設定休日!$B$3:$B$50, 0)), 1, "")</f>
        <v/>
      </c>
      <c r="Z206" s="24"/>
      <c r="AA206" s="21"/>
      <c r="AB206" s="27"/>
      <c r="AC206" s="27"/>
      <c r="AD206" s="27"/>
      <c r="AE206" s="27"/>
      <c r="AF206" s="27"/>
      <c r="AG206" s="27"/>
      <c r="AH206" s="27"/>
    </row>
    <row r="207" spans="1:34" x14ac:dyDescent="0.4">
      <c r="A207" s="28">
        <v>46212</v>
      </c>
      <c r="B207" s="28"/>
      <c r="C207" s="27"/>
      <c r="D207" s="27"/>
      <c r="E207" s="27"/>
      <c r="F207" s="27"/>
      <c r="G207" s="27"/>
      <c r="H207" s="27"/>
      <c r="I207" s="29" t="str">
        <f t="shared" si="3"/>
        <v/>
      </c>
      <c r="J207" s="29"/>
      <c r="K207" s="29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4" t="str">
        <f>IF(ISNUMBER(MATCH(A207, 設定休日!$B$3:$B$50, 0)), 1, "")</f>
        <v/>
      </c>
      <c r="Z207" s="24"/>
      <c r="AA207" s="21"/>
      <c r="AB207" s="27"/>
      <c r="AC207" s="27"/>
      <c r="AD207" s="27"/>
      <c r="AE207" s="27"/>
      <c r="AF207" s="27"/>
      <c r="AG207" s="27"/>
      <c r="AH207" s="27"/>
    </row>
    <row r="208" spans="1:34" x14ac:dyDescent="0.4">
      <c r="A208" s="28">
        <v>46213</v>
      </c>
      <c r="B208" s="28"/>
      <c r="C208" s="27"/>
      <c r="D208" s="27"/>
      <c r="E208" s="27"/>
      <c r="F208" s="27"/>
      <c r="G208" s="27"/>
      <c r="H208" s="27"/>
      <c r="I208" s="29" t="str">
        <f t="shared" si="3"/>
        <v/>
      </c>
      <c r="J208" s="29"/>
      <c r="K208" s="29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4" t="str">
        <f>IF(ISNUMBER(MATCH(A208, 設定休日!$B$3:$B$50, 0)), 1, "")</f>
        <v/>
      </c>
      <c r="Z208" s="24"/>
      <c r="AA208" s="21"/>
      <c r="AB208" s="27"/>
      <c r="AC208" s="27"/>
      <c r="AD208" s="27"/>
      <c r="AE208" s="27"/>
      <c r="AF208" s="27"/>
      <c r="AG208" s="27"/>
      <c r="AH208" s="27"/>
    </row>
    <row r="209" spans="1:40" x14ac:dyDescent="0.4">
      <c r="A209" s="28">
        <v>46214</v>
      </c>
      <c r="B209" s="28"/>
      <c r="C209" s="27"/>
      <c r="D209" s="27"/>
      <c r="E209" s="27"/>
      <c r="F209" s="27"/>
      <c r="G209" s="27"/>
      <c r="H209" s="27"/>
      <c r="I209" s="29" t="str">
        <f t="shared" si="3"/>
        <v/>
      </c>
      <c r="J209" s="29"/>
      <c r="K209" s="29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4" t="str">
        <f>IF(ISNUMBER(MATCH(A209, 設定休日!$B$3:$B$50, 0)), 1, "")</f>
        <v/>
      </c>
      <c r="Z209" s="24"/>
      <c r="AA209" s="21"/>
      <c r="AB209" s="27"/>
      <c r="AC209" s="27"/>
      <c r="AD209" s="27"/>
      <c r="AE209" s="27"/>
      <c r="AF209" s="27"/>
      <c r="AG209" s="27"/>
      <c r="AH209" s="27"/>
    </row>
    <row r="210" spans="1:40" x14ac:dyDescent="0.4">
      <c r="A210" s="28">
        <v>46215</v>
      </c>
      <c r="B210" s="28"/>
      <c r="C210" s="27"/>
      <c r="D210" s="27"/>
      <c r="E210" s="27"/>
      <c r="F210" s="27"/>
      <c r="G210" s="27"/>
      <c r="H210" s="27"/>
      <c r="I210" s="29" t="str">
        <f t="shared" si="3"/>
        <v/>
      </c>
      <c r="J210" s="29"/>
      <c r="K210" s="29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4" t="str">
        <f>IF(ISNUMBER(MATCH(A210, 設定休日!$B$3:$B$50, 0)), 1, "")</f>
        <v/>
      </c>
      <c r="Z210" s="24"/>
      <c r="AA210" s="21"/>
      <c r="AB210" s="27"/>
      <c r="AC210" s="27"/>
      <c r="AD210" s="27"/>
      <c r="AE210" s="27"/>
      <c r="AF210" s="27"/>
      <c r="AG210" s="27"/>
      <c r="AH210" s="27"/>
    </row>
    <row r="211" spans="1:40" x14ac:dyDescent="0.4">
      <c r="A211" s="28">
        <v>46216</v>
      </c>
      <c r="B211" s="28"/>
      <c r="C211" s="27"/>
      <c r="D211" s="27"/>
      <c r="E211" s="27"/>
      <c r="F211" s="27"/>
      <c r="G211" s="27"/>
      <c r="H211" s="27"/>
      <c r="I211" s="29" t="str">
        <f t="shared" si="3"/>
        <v/>
      </c>
      <c r="J211" s="29"/>
      <c r="K211" s="29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4" t="str">
        <f>IF(ISNUMBER(MATCH(A211, 設定休日!$B$3:$B$50, 0)), 1, "")</f>
        <v/>
      </c>
      <c r="Z211" s="24"/>
      <c r="AA211" s="21"/>
      <c r="AB211" s="27"/>
      <c r="AC211" s="27"/>
      <c r="AD211" s="27"/>
      <c r="AE211" s="27"/>
      <c r="AF211" s="27"/>
      <c r="AG211" s="27"/>
      <c r="AH211" s="27"/>
      <c r="AI211" s="13">
        <f>MONTH(A211)</f>
        <v>7</v>
      </c>
      <c r="AJ211" s="11" t="s">
        <v>47</v>
      </c>
      <c r="AK211" s="11" t="s">
        <v>48</v>
      </c>
      <c r="AM211" s="9" t="s">
        <v>50</v>
      </c>
      <c r="AN211" s="9" t="s">
        <v>53</v>
      </c>
    </row>
    <row r="212" spans="1:40" x14ac:dyDescent="0.4">
      <c r="A212" s="28">
        <v>46217</v>
      </c>
      <c r="B212" s="28"/>
      <c r="C212" s="27"/>
      <c r="D212" s="27"/>
      <c r="E212" s="27"/>
      <c r="F212" s="27"/>
      <c r="G212" s="27"/>
      <c r="H212" s="27"/>
      <c r="I212" s="29" t="str">
        <f t="shared" si="3"/>
        <v/>
      </c>
      <c r="J212" s="29"/>
      <c r="K212" s="29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4" t="str">
        <f>IF(ISNUMBER(MATCH(A212, 設定休日!$B$3:$B$50, 0)), 1, "")</f>
        <v/>
      </c>
      <c r="Z212" s="24"/>
      <c r="AA212" s="21"/>
      <c r="AB212" s="27"/>
      <c r="AC212" s="27"/>
      <c r="AD212" s="27"/>
      <c r="AE212" s="27"/>
      <c r="AF212" s="27"/>
      <c r="AG212" s="27"/>
      <c r="AH212" s="27"/>
      <c r="AI212" s="14" t="s">
        <v>41</v>
      </c>
      <c r="AJ212" s="9">
        <f>AM212-AM213+1</f>
        <v>30</v>
      </c>
      <c r="AK212" s="9">
        <f>AJ212</f>
        <v>30</v>
      </c>
      <c r="AM212" s="9">
        <f>MATCH(DATE($A$4,AI211,20),A:A,0)</f>
        <v>218</v>
      </c>
      <c r="AN212" s="9" t="s">
        <v>51</v>
      </c>
    </row>
    <row r="213" spans="1:40" x14ac:dyDescent="0.4">
      <c r="A213" s="28">
        <v>46218</v>
      </c>
      <c r="B213" s="28"/>
      <c r="C213" s="27"/>
      <c r="D213" s="27"/>
      <c r="E213" s="27"/>
      <c r="F213" s="27"/>
      <c r="G213" s="27"/>
      <c r="H213" s="27"/>
      <c r="I213" s="29" t="str">
        <f t="shared" si="3"/>
        <v/>
      </c>
      <c r="J213" s="29"/>
      <c r="K213" s="29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4" t="str">
        <f>IF(ISNUMBER(MATCH(A213, 設定休日!$B$3:$B$50, 0)), 1, "")</f>
        <v/>
      </c>
      <c r="Z213" s="24"/>
      <c r="AA213" s="21"/>
      <c r="AB213" s="27"/>
      <c r="AC213" s="27"/>
      <c r="AD213" s="27"/>
      <c r="AE213" s="27"/>
      <c r="AF213" s="27"/>
      <c r="AG213" s="27"/>
      <c r="AH213" s="27"/>
      <c r="AI213" s="9" t="s">
        <v>42</v>
      </c>
      <c r="AJ213" s="9" cm="1">
        <f t="array" aca="1" ref="AJ213" ca="1">AJ212-SUMPRODUCT(COUNTIF(INDIRECT("A"&amp;AM212&amp;":A"&amp;AM213),祝日!B153:B200))+SUMPRODUCT(COUNTIF(INDIRECT("A"&amp;AM212&amp;":A"&amp;AM213),設定休日!B153:B200))</f>
        <v>30</v>
      </c>
      <c r="AK213" s="9">
        <f ca="1">AJ213</f>
        <v>30</v>
      </c>
      <c r="AM213" s="9">
        <f>MATCH(DATE(IF(MONTH(A194)=12,$A$4-1,$A$4),MONTH(A194),21),A:A,0)</f>
        <v>189</v>
      </c>
      <c r="AN213" s="9" t="s">
        <v>52</v>
      </c>
    </row>
    <row r="214" spans="1:40" x14ac:dyDescent="0.4">
      <c r="A214" s="28">
        <v>46219</v>
      </c>
      <c r="B214" s="28"/>
      <c r="C214" s="27"/>
      <c r="D214" s="27"/>
      <c r="E214" s="27"/>
      <c r="F214" s="27"/>
      <c r="G214" s="27"/>
      <c r="H214" s="27"/>
      <c r="I214" s="29" t="str">
        <f t="shared" si="3"/>
        <v/>
      </c>
      <c r="J214" s="29"/>
      <c r="K214" s="29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4" t="str">
        <f>IF(ISNUMBER(MATCH(A214, 設定休日!$B$3:$B$50, 0)), 1, "")</f>
        <v/>
      </c>
      <c r="Z214" s="24"/>
      <c r="AA214" s="21"/>
      <c r="AB214" s="27"/>
      <c r="AC214" s="27"/>
      <c r="AD214" s="27"/>
      <c r="AE214" s="27"/>
      <c r="AF214" s="27"/>
      <c r="AG214" s="27"/>
      <c r="AH214" s="27"/>
      <c r="AI214" s="9" t="s">
        <v>43</v>
      </c>
      <c r="AJ214" s="12">
        <f ca="1">AJ213*TIME(7,0,0)</f>
        <v>8.75</v>
      </c>
      <c r="AM214" s="9" t="s">
        <v>54</v>
      </c>
      <c r="AN214" s="9" t="s">
        <v>55</v>
      </c>
    </row>
    <row r="215" spans="1:40" x14ac:dyDescent="0.4">
      <c r="A215" s="28">
        <v>46220</v>
      </c>
      <c r="B215" s="28"/>
      <c r="C215" s="27"/>
      <c r="D215" s="27"/>
      <c r="E215" s="27"/>
      <c r="F215" s="27"/>
      <c r="G215" s="27"/>
      <c r="H215" s="27"/>
      <c r="I215" s="29" t="str">
        <f t="shared" si="3"/>
        <v/>
      </c>
      <c r="J215" s="29"/>
      <c r="K215" s="29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4" t="str">
        <f>IF(ISNUMBER(MATCH(A215, 設定休日!$B$3:$B$50, 0)), 1, "")</f>
        <v/>
      </c>
      <c r="Z215" s="24"/>
      <c r="AA215" s="21"/>
      <c r="AB215" s="27"/>
      <c r="AC215" s="27"/>
      <c r="AD215" s="27"/>
      <c r="AE215" s="27"/>
      <c r="AF215" s="27"/>
      <c r="AG215" s="27"/>
      <c r="AH215" s="27"/>
      <c r="AI215" s="9" t="s">
        <v>44</v>
      </c>
      <c r="AJ215" s="12">
        <f ca="1">SUM(INDIRECT("I"&amp;AM212&amp;":I"&amp;AM213))</f>
        <v>0</v>
      </c>
      <c r="AN215" s="9" t="s">
        <v>59</v>
      </c>
    </row>
    <row r="216" spans="1:40" x14ac:dyDescent="0.4">
      <c r="A216" s="28">
        <v>46221</v>
      </c>
      <c r="B216" s="28"/>
      <c r="C216" s="27"/>
      <c r="D216" s="27"/>
      <c r="E216" s="27"/>
      <c r="F216" s="27"/>
      <c r="G216" s="27"/>
      <c r="H216" s="27"/>
      <c r="I216" s="29" t="str">
        <f t="shared" si="3"/>
        <v/>
      </c>
      <c r="J216" s="29"/>
      <c r="K216" s="29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4" t="str">
        <f>IF(ISNUMBER(MATCH(A216, 設定休日!$B$3:$B$50, 0)), 1, "")</f>
        <v/>
      </c>
      <c r="Z216" s="24"/>
      <c r="AA216" s="21"/>
      <c r="AB216" s="27"/>
      <c r="AC216" s="27"/>
      <c r="AD216" s="27"/>
      <c r="AE216" s="27"/>
      <c r="AF216" s="27"/>
      <c r="AG216" s="27"/>
      <c r="AH216" s="27"/>
      <c r="AI216" s="9" t="s">
        <v>49</v>
      </c>
      <c r="AJ216" s="12" t="str">
        <f ca="1">IF(AJ215-AJ214&lt;=0,"",AJ215-AJ214)</f>
        <v/>
      </c>
    </row>
    <row r="217" spans="1:40" x14ac:dyDescent="0.4">
      <c r="A217" s="28">
        <v>46222</v>
      </c>
      <c r="B217" s="28"/>
      <c r="C217" s="27"/>
      <c r="D217" s="27"/>
      <c r="E217" s="27"/>
      <c r="F217" s="27"/>
      <c r="G217" s="27"/>
      <c r="H217" s="27"/>
      <c r="I217" s="29" t="str">
        <f t="shared" si="3"/>
        <v/>
      </c>
      <c r="J217" s="29"/>
      <c r="K217" s="29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4" t="str">
        <f>IF(ISNUMBER(MATCH(A217, 設定休日!$B$3:$B$50, 0)), 1, "")</f>
        <v/>
      </c>
      <c r="Z217" s="24"/>
      <c r="AA217" s="21"/>
      <c r="AB217" s="27"/>
      <c r="AC217" s="27"/>
      <c r="AD217" s="27"/>
      <c r="AE217" s="27"/>
      <c r="AF217" s="27"/>
      <c r="AG217" s="27"/>
      <c r="AH217" s="27"/>
      <c r="AI217" s="9" t="s">
        <v>45</v>
      </c>
      <c r="AJ217" s="9">
        <f ca="1">COUNTA(INDIRECT("Z"&amp;AM212&amp;":Z"&amp;AM213))</f>
        <v>0</v>
      </c>
      <c r="AK217" s="9" cm="1">
        <f t="array" ref="AK217">SUMPRODUCT( --(Z188:Z563&lt;&gt;""))</f>
        <v>1</v>
      </c>
    </row>
    <row r="218" spans="1:40" ht="19.5" thickBot="1" x14ac:dyDescent="0.45">
      <c r="A218" s="34">
        <v>46223</v>
      </c>
      <c r="B218" s="34"/>
      <c r="C218" s="30"/>
      <c r="D218" s="30"/>
      <c r="E218" s="30"/>
      <c r="F218" s="30"/>
      <c r="G218" s="30"/>
      <c r="H218" s="30"/>
      <c r="I218" s="35" t="str">
        <f t="shared" si="3"/>
        <v/>
      </c>
      <c r="J218" s="35"/>
      <c r="K218" s="35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25" t="str">
        <f>IF(ISNUMBER(MATCH(A218, 設定休日!$B$3:$B$50, 0)), 1, "")</f>
        <v/>
      </c>
      <c r="Z218" s="25"/>
      <c r="AA218" s="23"/>
      <c r="AB218" s="30"/>
      <c r="AC218" s="30"/>
      <c r="AD218" s="30"/>
      <c r="AE218" s="30"/>
      <c r="AF218" s="30"/>
      <c r="AG218" s="30"/>
      <c r="AH218" s="30"/>
      <c r="AI218" s="10" t="s">
        <v>46</v>
      </c>
      <c r="AJ218" s="10">
        <f ca="1">SUM(INDIRECT("AA"&amp;AM212&amp;":AA"&amp;AM213))</f>
        <v>0</v>
      </c>
      <c r="AK218" s="10">
        <f>SUM(AA188:AA563)</f>
        <v>0</v>
      </c>
      <c r="AL218" s="10"/>
      <c r="AM218" s="10"/>
    </row>
    <row r="219" spans="1:40" x14ac:dyDescent="0.4">
      <c r="A219" s="31">
        <v>46224</v>
      </c>
      <c r="B219" s="31"/>
      <c r="C219" s="32"/>
      <c r="D219" s="32"/>
      <c r="E219" s="32"/>
      <c r="F219" s="32"/>
      <c r="G219" s="32"/>
      <c r="H219" s="32"/>
      <c r="I219" s="33" t="str">
        <f t="shared" si="3"/>
        <v/>
      </c>
      <c r="J219" s="33"/>
      <c r="K219" s="33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26">
        <f>IF(ISNUMBER(MATCH(A219, 設定休日!$B$3:$B$50, 0)), 1, "")</f>
        <v>1</v>
      </c>
      <c r="Z219" s="26"/>
      <c r="AA219" s="22"/>
      <c r="AB219" s="32"/>
      <c r="AC219" s="32"/>
      <c r="AD219" s="32"/>
      <c r="AE219" s="32"/>
      <c r="AF219" s="32"/>
      <c r="AG219" s="32"/>
      <c r="AH219" s="32"/>
    </row>
    <row r="220" spans="1:40" x14ac:dyDescent="0.4">
      <c r="A220" s="28">
        <v>46225</v>
      </c>
      <c r="B220" s="28"/>
      <c r="C220" s="27"/>
      <c r="D220" s="27"/>
      <c r="E220" s="27"/>
      <c r="F220" s="27"/>
      <c r="G220" s="27"/>
      <c r="H220" s="27"/>
      <c r="I220" s="29" t="str">
        <f t="shared" si="3"/>
        <v/>
      </c>
      <c r="J220" s="29"/>
      <c r="K220" s="29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4" t="str">
        <f>IF(ISNUMBER(MATCH(A220, 設定休日!$B$3:$B$50, 0)), 1, "")</f>
        <v/>
      </c>
      <c r="Z220" s="24"/>
      <c r="AA220" s="21"/>
      <c r="AB220" s="27"/>
      <c r="AC220" s="27"/>
      <c r="AD220" s="27"/>
      <c r="AE220" s="27"/>
      <c r="AF220" s="27"/>
      <c r="AG220" s="27"/>
      <c r="AH220" s="27"/>
    </row>
    <row r="221" spans="1:40" x14ac:dyDescent="0.4">
      <c r="A221" s="28">
        <v>46226</v>
      </c>
      <c r="B221" s="28"/>
      <c r="C221" s="27"/>
      <c r="D221" s="27"/>
      <c r="E221" s="27"/>
      <c r="F221" s="27"/>
      <c r="G221" s="27"/>
      <c r="H221" s="27"/>
      <c r="I221" s="29" t="str">
        <f t="shared" si="3"/>
        <v/>
      </c>
      <c r="J221" s="29"/>
      <c r="K221" s="29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4" t="str">
        <f>IF(ISNUMBER(MATCH(A221, 設定休日!$B$3:$B$50, 0)), 1, "")</f>
        <v/>
      </c>
      <c r="Z221" s="24"/>
      <c r="AA221" s="21"/>
      <c r="AB221" s="27"/>
      <c r="AC221" s="27"/>
      <c r="AD221" s="27"/>
      <c r="AE221" s="27"/>
      <c r="AF221" s="27"/>
      <c r="AG221" s="27"/>
      <c r="AH221" s="27"/>
    </row>
    <row r="222" spans="1:40" x14ac:dyDescent="0.4">
      <c r="A222" s="28">
        <v>46227</v>
      </c>
      <c r="B222" s="28"/>
      <c r="C222" s="27"/>
      <c r="D222" s="27"/>
      <c r="E222" s="27"/>
      <c r="F222" s="27"/>
      <c r="G222" s="27"/>
      <c r="H222" s="27"/>
      <c r="I222" s="29" t="str">
        <f t="shared" si="3"/>
        <v/>
      </c>
      <c r="J222" s="29"/>
      <c r="K222" s="29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4" t="str">
        <f>IF(ISNUMBER(MATCH(A222, 設定休日!$B$3:$B$50, 0)), 1, "")</f>
        <v/>
      </c>
      <c r="Z222" s="24"/>
      <c r="AA222" s="21"/>
      <c r="AB222" s="27"/>
      <c r="AC222" s="27"/>
      <c r="AD222" s="27"/>
      <c r="AE222" s="27"/>
      <c r="AF222" s="27"/>
      <c r="AG222" s="27"/>
      <c r="AH222" s="27"/>
    </row>
    <row r="223" spans="1:40" x14ac:dyDescent="0.4">
      <c r="A223" s="28">
        <v>46228</v>
      </c>
      <c r="B223" s="28"/>
      <c r="C223" s="27"/>
      <c r="D223" s="27"/>
      <c r="E223" s="27"/>
      <c r="F223" s="27"/>
      <c r="G223" s="27"/>
      <c r="H223" s="27"/>
      <c r="I223" s="29" t="str">
        <f t="shared" si="3"/>
        <v/>
      </c>
      <c r="J223" s="29"/>
      <c r="K223" s="29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4" t="str">
        <f>IF(ISNUMBER(MATCH(A223, 設定休日!$B$3:$B$50, 0)), 1, "")</f>
        <v/>
      </c>
      <c r="Z223" s="24"/>
      <c r="AA223" s="21"/>
      <c r="AB223" s="27"/>
      <c r="AC223" s="27"/>
      <c r="AD223" s="27"/>
      <c r="AE223" s="27"/>
      <c r="AF223" s="27"/>
      <c r="AG223" s="27"/>
      <c r="AH223" s="27"/>
    </row>
    <row r="224" spans="1:40" x14ac:dyDescent="0.4">
      <c r="A224" s="28">
        <v>46229</v>
      </c>
      <c r="B224" s="28"/>
      <c r="C224" s="27"/>
      <c r="D224" s="27"/>
      <c r="E224" s="27"/>
      <c r="F224" s="27"/>
      <c r="G224" s="27"/>
      <c r="H224" s="27"/>
      <c r="I224" s="29" t="str">
        <f t="shared" si="3"/>
        <v/>
      </c>
      <c r="J224" s="29"/>
      <c r="K224" s="29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4" t="str">
        <f>IF(ISNUMBER(MATCH(A224, 設定休日!$B$3:$B$50, 0)), 1, "")</f>
        <v/>
      </c>
      <c r="Z224" s="24"/>
      <c r="AA224" s="21"/>
      <c r="AB224" s="27"/>
      <c r="AC224" s="27"/>
      <c r="AD224" s="27"/>
      <c r="AE224" s="27"/>
      <c r="AF224" s="27"/>
      <c r="AG224" s="27"/>
      <c r="AH224" s="27"/>
    </row>
    <row r="225" spans="1:34" x14ac:dyDescent="0.4">
      <c r="A225" s="28">
        <v>46230</v>
      </c>
      <c r="B225" s="28"/>
      <c r="C225" s="27"/>
      <c r="D225" s="27"/>
      <c r="E225" s="27"/>
      <c r="F225" s="27"/>
      <c r="G225" s="27"/>
      <c r="H225" s="27"/>
      <c r="I225" s="29" t="str">
        <f t="shared" si="3"/>
        <v/>
      </c>
      <c r="J225" s="29"/>
      <c r="K225" s="29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4" t="str">
        <f>IF(ISNUMBER(MATCH(A225, 設定休日!$B$3:$B$50, 0)), 1, "")</f>
        <v/>
      </c>
      <c r="Z225" s="24"/>
      <c r="AA225" s="21"/>
      <c r="AB225" s="27"/>
      <c r="AC225" s="27"/>
      <c r="AD225" s="27"/>
      <c r="AE225" s="27"/>
      <c r="AF225" s="27"/>
      <c r="AG225" s="27"/>
      <c r="AH225" s="27"/>
    </row>
    <row r="226" spans="1:34" x14ac:dyDescent="0.4">
      <c r="A226" s="28">
        <v>46231</v>
      </c>
      <c r="B226" s="28"/>
      <c r="C226" s="27"/>
      <c r="D226" s="27"/>
      <c r="E226" s="27"/>
      <c r="F226" s="27"/>
      <c r="G226" s="27"/>
      <c r="H226" s="27"/>
      <c r="I226" s="29" t="str">
        <f t="shared" si="3"/>
        <v/>
      </c>
      <c r="J226" s="29"/>
      <c r="K226" s="29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4" t="str">
        <f>IF(ISNUMBER(MATCH(A226, 設定休日!$B$3:$B$50, 0)), 1, "")</f>
        <v/>
      </c>
      <c r="Z226" s="24"/>
      <c r="AA226" s="21"/>
      <c r="AB226" s="27"/>
      <c r="AC226" s="27"/>
      <c r="AD226" s="27"/>
      <c r="AE226" s="27"/>
      <c r="AF226" s="27"/>
      <c r="AG226" s="27"/>
      <c r="AH226" s="27"/>
    </row>
    <row r="227" spans="1:34" x14ac:dyDescent="0.4">
      <c r="A227" s="28">
        <v>46232</v>
      </c>
      <c r="B227" s="28"/>
      <c r="C227" s="27"/>
      <c r="D227" s="27"/>
      <c r="E227" s="27"/>
      <c r="F227" s="27"/>
      <c r="G227" s="27"/>
      <c r="H227" s="27"/>
      <c r="I227" s="29" t="str">
        <f t="shared" si="3"/>
        <v/>
      </c>
      <c r="J227" s="29"/>
      <c r="K227" s="29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4" t="str">
        <f>IF(ISNUMBER(MATCH(A227, 設定休日!$B$3:$B$50, 0)), 1, "")</f>
        <v/>
      </c>
      <c r="Z227" s="24"/>
      <c r="AA227" s="21"/>
      <c r="AB227" s="27"/>
      <c r="AC227" s="27"/>
      <c r="AD227" s="27"/>
      <c r="AE227" s="27"/>
      <c r="AF227" s="27"/>
      <c r="AG227" s="27"/>
      <c r="AH227" s="27"/>
    </row>
    <row r="228" spans="1:34" x14ac:dyDescent="0.4">
      <c r="A228" s="28">
        <v>46233</v>
      </c>
      <c r="B228" s="28"/>
      <c r="C228" s="27"/>
      <c r="D228" s="27"/>
      <c r="E228" s="27"/>
      <c r="F228" s="27"/>
      <c r="G228" s="27"/>
      <c r="H228" s="27"/>
      <c r="I228" s="29" t="str">
        <f t="shared" si="3"/>
        <v/>
      </c>
      <c r="J228" s="29"/>
      <c r="K228" s="29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4" t="str">
        <f>IF(ISNUMBER(MATCH(A228, 設定休日!$B$3:$B$50, 0)), 1, "")</f>
        <v/>
      </c>
      <c r="Z228" s="24"/>
      <c r="AA228" s="21"/>
      <c r="AB228" s="27"/>
      <c r="AC228" s="27"/>
      <c r="AD228" s="27"/>
      <c r="AE228" s="27"/>
      <c r="AF228" s="27"/>
      <c r="AG228" s="27"/>
      <c r="AH228" s="27"/>
    </row>
    <row r="229" spans="1:34" x14ac:dyDescent="0.4">
      <c r="A229" s="28">
        <v>46234</v>
      </c>
      <c r="B229" s="28"/>
      <c r="C229" s="27"/>
      <c r="D229" s="27"/>
      <c r="E229" s="27"/>
      <c r="F229" s="27"/>
      <c r="G229" s="27"/>
      <c r="H229" s="27"/>
      <c r="I229" s="29" t="str">
        <f t="shared" si="3"/>
        <v/>
      </c>
      <c r="J229" s="29"/>
      <c r="K229" s="29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4" t="str">
        <f>IF(ISNUMBER(MATCH(A229, 設定休日!$B$3:$B$50, 0)), 1, "")</f>
        <v/>
      </c>
      <c r="Z229" s="24"/>
      <c r="AA229" s="21"/>
      <c r="AB229" s="27"/>
      <c r="AC229" s="27"/>
      <c r="AD229" s="27"/>
      <c r="AE229" s="27"/>
      <c r="AF229" s="27"/>
      <c r="AG229" s="27"/>
      <c r="AH229" s="27"/>
    </row>
    <row r="230" spans="1:34" x14ac:dyDescent="0.4">
      <c r="A230" s="28">
        <v>46235</v>
      </c>
      <c r="B230" s="28"/>
      <c r="C230" s="27"/>
      <c r="D230" s="27"/>
      <c r="E230" s="27"/>
      <c r="F230" s="27"/>
      <c r="G230" s="27"/>
      <c r="H230" s="27"/>
      <c r="I230" s="29" t="str">
        <f t="shared" si="3"/>
        <v/>
      </c>
      <c r="J230" s="29"/>
      <c r="K230" s="29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4" t="str">
        <f>IF(ISNUMBER(MATCH(A230, 設定休日!$B$3:$B$50, 0)), 1, "")</f>
        <v/>
      </c>
      <c r="Z230" s="24"/>
      <c r="AA230" s="21"/>
      <c r="AB230" s="27"/>
      <c r="AC230" s="27"/>
      <c r="AD230" s="27"/>
      <c r="AE230" s="27"/>
      <c r="AF230" s="27"/>
      <c r="AG230" s="27"/>
      <c r="AH230" s="27"/>
    </row>
    <row r="231" spans="1:34" x14ac:dyDescent="0.4">
      <c r="A231" s="28">
        <v>46236</v>
      </c>
      <c r="B231" s="28"/>
      <c r="C231" s="27"/>
      <c r="D231" s="27"/>
      <c r="E231" s="27"/>
      <c r="F231" s="27"/>
      <c r="G231" s="27"/>
      <c r="H231" s="27"/>
      <c r="I231" s="29" t="str">
        <f t="shared" si="3"/>
        <v/>
      </c>
      <c r="J231" s="29"/>
      <c r="K231" s="29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4" t="str">
        <f>IF(ISNUMBER(MATCH(A231, 設定休日!$B$3:$B$50, 0)), 1, "")</f>
        <v/>
      </c>
      <c r="Z231" s="24"/>
      <c r="AA231" s="21"/>
      <c r="AB231" s="27"/>
      <c r="AC231" s="27"/>
      <c r="AD231" s="27"/>
      <c r="AE231" s="27"/>
      <c r="AF231" s="27"/>
      <c r="AG231" s="27"/>
      <c r="AH231" s="27"/>
    </row>
    <row r="232" spans="1:34" x14ac:dyDescent="0.4">
      <c r="A232" s="28">
        <v>46237</v>
      </c>
      <c r="B232" s="28"/>
      <c r="C232" s="27"/>
      <c r="D232" s="27"/>
      <c r="E232" s="27"/>
      <c r="F232" s="27"/>
      <c r="G232" s="27"/>
      <c r="H232" s="27"/>
      <c r="I232" s="29" t="str">
        <f t="shared" si="3"/>
        <v/>
      </c>
      <c r="J232" s="29"/>
      <c r="K232" s="29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4" t="str">
        <f>IF(ISNUMBER(MATCH(A232, 設定休日!$B$3:$B$50, 0)), 1, "")</f>
        <v/>
      </c>
      <c r="Z232" s="24"/>
      <c r="AA232" s="21"/>
      <c r="AB232" s="27"/>
      <c r="AC232" s="27"/>
      <c r="AD232" s="27"/>
      <c r="AE232" s="27"/>
      <c r="AF232" s="27"/>
      <c r="AG232" s="27"/>
      <c r="AH232" s="27"/>
    </row>
    <row r="233" spans="1:34" x14ac:dyDescent="0.4">
      <c r="A233" s="28">
        <v>46238</v>
      </c>
      <c r="B233" s="28"/>
      <c r="C233" s="27"/>
      <c r="D233" s="27"/>
      <c r="E233" s="27"/>
      <c r="F233" s="27"/>
      <c r="G233" s="27"/>
      <c r="H233" s="27"/>
      <c r="I233" s="29" t="str">
        <f t="shared" si="3"/>
        <v/>
      </c>
      <c r="J233" s="29"/>
      <c r="K233" s="29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4" t="str">
        <f>IF(ISNUMBER(MATCH(A233, 設定休日!$B$3:$B$50, 0)), 1, "")</f>
        <v/>
      </c>
      <c r="Z233" s="24"/>
      <c r="AA233" s="21"/>
      <c r="AB233" s="27"/>
      <c r="AC233" s="27"/>
      <c r="AD233" s="27"/>
      <c r="AE233" s="27"/>
      <c r="AF233" s="27"/>
      <c r="AG233" s="27"/>
      <c r="AH233" s="27"/>
    </row>
    <row r="234" spans="1:34" x14ac:dyDescent="0.4">
      <c r="A234" s="28">
        <v>46239</v>
      </c>
      <c r="B234" s="28"/>
      <c r="C234" s="27"/>
      <c r="D234" s="27"/>
      <c r="E234" s="27"/>
      <c r="F234" s="27"/>
      <c r="G234" s="27"/>
      <c r="H234" s="27"/>
      <c r="I234" s="29" t="str">
        <f t="shared" si="3"/>
        <v/>
      </c>
      <c r="J234" s="29"/>
      <c r="K234" s="29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4" t="str">
        <f>IF(ISNUMBER(MATCH(A234, 設定休日!$B$3:$B$50, 0)), 1, "")</f>
        <v/>
      </c>
      <c r="Z234" s="24"/>
      <c r="AA234" s="21"/>
      <c r="AB234" s="27"/>
      <c r="AC234" s="27"/>
      <c r="AD234" s="27"/>
      <c r="AE234" s="27"/>
      <c r="AF234" s="27"/>
      <c r="AG234" s="27"/>
      <c r="AH234" s="27"/>
    </row>
    <row r="235" spans="1:34" x14ac:dyDescent="0.4">
      <c r="A235" s="28">
        <v>46240</v>
      </c>
      <c r="B235" s="28"/>
      <c r="C235" s="27"/>
      <c r="D235" s="27"/>
      <c r="E235" s="27"/>
      <c r="F235" s="27"/>
      <c r="G235" s="27"/>
      <c r="H235" s="27"/>
      <c r="I235" s="29" t="str">
        <f t="shared" si="3"/>
        <v/>
      </c>
      <c r="J235" s="29"/>
      <c r="K235" s="29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4">
        <f>IF(ISNUMBER(MATCH(A235, 設定休日!$B$3:$B$50, 0)), 1, "")</f>
        <v>1</v>
      </c>
      <c r="Z235" s="24"/>
      <c r="AA235" s="21"/>
      <c r="AB235" s="27"/>
      <c r="AC235" s="27"/>
      <c r="AD235" s="27"/>
      <c r="AE235" s="27"/>
      <c r="AF235" s="27"/>
      <c r="AG235" s="27"/>
      <c r="AH235" s="27"/>
    </row>
    <row r="236" spans="1:34" x14ac:dyDescent="0.4">
      <c r="A236" s="28">
        <v>46241</v>
      </c>
      <c r="B236" s="28"/>
      <c r="C236" s="27"/>
      <c r="D236" s="27"/>
      <c r="E236" s="27"/>
      <c r="F236" s="27"/>
      <c r="G236" s="27"/>
      <c r="H236" s="27"/>
      <c r="I236" s="29" t="str">
        <f t="shared" si="3"/>
        <v/>
      </c>
      <c r="J236" s="29"/>
      <c r="K236" s="29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4">
        <f>IF(ISNUMBER(MATCH(A236, 設定休日!$B$3:$B$50, 0)), 1, "")</f>
        <v>1</v>
      </c>
      <c r="Z236" s="24"/>
      <c r="AA236" s="21"/>
      <c r="AB236" s="27"/>
      <c r="AC236" s="27"/>
      <c r="AD236" s="27"/>
      <c r="AE236" s="27"/>
      <c r="AF236" s="27"/>
      <c r="AG236" s="27"/>
      <c r="AH236" s="27"/>
    </row>
    <row r="237" spans="1:34" x14ac:dyDescent="0.4">
      <c r="A237" s="28">
        <v>46242</v>
      </c>
      <c r="B237" s="28"/>
      <c r="C237" s="27"/>
      <c r="D237" s="27"/>
      <c r="E237" s="27"/>
      <c r="F237" s="27"/>
      <c r="G237" s="27"/>
      <c r="H237" s="27"/>
      <c r="I237" s="29" t="str">
        <f t="shared" si="3"/>
        <v/>
      </c>
      <c r="J237" s="29"/>
      <c r="K237" s="29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4" t="str">
        <f>IF(ISNUMBER(MATCH(A237, 設定休日!$B$3:$B$50, 0)), 1, "")</f>
        <v/>
      </c>
      <c r="Z237" s="24"/>
      <c r="AA237" s="21"/>
      <c r="AB237" s="27"/>
      <c r="AC237" s="27"/>
      <c r="AD237" s="27"/>
      <c r="AE237" s="27"/>
      <c r="AF237" s="27"/>
      <c r="AG237" s="27"/>
      <c r="AH237" s="27"/>
    </row>
    <row r="238" spans="1:34" x14ac:dyDescent="0.4">
      <c r="A238" s="28">
        <v>46243</v>
      </c>
      <c r="B238" s="28"/>
      <c r="C238" s="27"/>
      <c r="D238" s="27"/>
      <c r="E238" s="27"/>
      <c r="F238" s="27"/>
      <c r="G238" s="27"/>
      <c r="H238" s="27"/>
      <c r="I238" s="29" t="str">
        <f t="shared" si="3"/>
        <v/>
      </c>
      <c r="J238" s="29"/>
      <c r="K238" s="29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4" t="str">
        <f>IF(ISNUMBER(MATCH(A238, 設定休日!$B$3:$B$50, 0)), 1, "")</f>
        <v/>
      </c>
      <c r="Z238" s="24"/>
      <c r="AA238" s="21"/>
      <c r="AB238" s="27"/>
      <c r="AC238" s="27"/>
      <c r="AD238" s="27"/>
      <c r="AE238" s="27"/>
      <c r="AF238" s="27"/>
      <c r="AG238" s="27"/>
      <c r="AH238" s="27"/>
    </row>
    <row r="239" spans="1:34" x14ac:dyDescent="0.4">
      <c r="A239" s="28">
        <v>46244</v>
      </c>
      <c r="B239" s="28"/>
      <c r="C239" s="27"/>
      <c r="D239" s="27"/>
      <c r="E239" s="27"/>
      <c r="F239" s="27"/>
      <c r="G239" s="27"/>
      <c r="H239" s="27"/>
      <c r="I239" s="29" t="str">
        <f t="shared" si="3"/>
        <v/>
      </c>
      <c r="J239" s="29"/>
      <c r="K239" s="29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4">
        <f>IF(ISNUMBER(MATCH(A239, 設定休日!$B$3:$B$50, 0)), 1, "")</f>
        <v>1</v>
      </c>
      <c r="Z239" s="24"/>
      <c r="AA239" s="21"/>
      <c r="AB239" s="27"/>
      <c r="AC239" s="27"/>
      <c r="AD239" s="27"/>
      <c r="AE239" s="27"/>
      <c r="AF239" s="27"/>
      <c r="AG239" s="27"/>
      <c r="AH239" s="27"/>
    </row>
    <row r="240" spans="1:34" x14ac:dyDescent="0.4">
      <c r="A240" s="28">
        <v>46245</v>
      </c>
      <c r="B240" s="28"/>
      <c r="C240" s="27"/>
      <c r="D240" s="27"/>
      <c r="E240" s="27"/>
      <c r="F240" s="27"/>
      <c r="G240" s="27"/>
      <c r="H240" s="27"/>
      <c r="I240" s="29" t="str">
        <f t="shared" si="3"/>
        <v/>
      </c>
      <c r="J240" s="29"/>
      <c r="K240" s="29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4" t="str">
        <f>IF(ISNUMBER(MATCH(A240, 設定休日!$B$3:$B$50, 0)), 1, "")</f>
        <v/>
      </c>
      <c r="Z240" s="24"/>
      <c r="AA240" s="21"/>
      <c r="AB240" s="27"/>
      <c r="AC240" s="27"/>
      <c r="AD240" s="27"/>
      <c r="AE240" s="27"/>
      <c r="AF240" s="27"/>
      <c r="AG240" s="27"/>
      <c r="AH240" s="27"/>
    </row>
    <row r="241" spans="1:40" x14ac:dyDescent="0.4">
      <c r="A241" s="28">
        <v>46246</v>
      </c>
      <c r="B241" s="28"/>
      <c r="C241" s="27"/>
      <c r="D241" s="27"/>
      <c r="E241" s="27"/>
      <c r="F241" s="27"/>
      <c r="G241" s="27"/>
      <c r="H241" s="27"/>
      <c r="I241" s="29" t="str">
        <f t="shared" si="3"/>
        <v/>
      </c>
      <c r="J241" s="29"/>
      <c r="K241" s="29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4">
        <f>IF(ISNUMBER(MATCH(A241, 設定休日!$B$3:$B$50, 0)), 1, "")</f>
        <v>1</v>
      </c>
      <c r="Z241" s="24"/>
      <c r="AA241" s="21"/>
      <c r="AB241" s="27"/>
      <c r="AC241" s="27"/>
      <c r="AD241" s="27"/>
      <c r="AE241" s="27"/>
      <c r="AF241" s="27"/>
      <c r="AG241" s="27"/>
      <c r="AH241" s="27"/>
    </row>
    <row r="242" spans="1:40" x14ac:dyDescent="0.4">
      <c r="A242" s="28">
        <v>46247</v>
      </c>
      <c r="B242" s="28"/>
      <c r="C242" s="27"/>
      <c r="D242" s="27"/>
      <c r="E242" s="27"/>
      <c r="F242" s="27"/>
      <c r="G242" s="27"/>
      <c r="H242" s="27"/>
      <c r="I242" s="29" t="str">
        <f t="shared" si="3"/>
        <v/>
      </c>
      <c r="J242" s="29"/>
      <c r="K242" s="29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4">
        <f>IF(ISNUMBER(MATCH(A242, 設定休日!$B$3:$B$50, 0)), 1, "")</f>
        <v>1</v>
      </c>
      <c r="Z242" s="24"/>
      <c r="AA242" s="21"/>
      <c r="AB242" s="27"/>
      <c r="AC242" s="27"/>
      <c r="AD242" s="27"/>
      <c r="AE242" s="27"/>
      <c r="AF242" s="27"/>
      <c r="AG242" s="27"/>
      <c r="AH242" s="27"/>
      <c r="AI242" s="13">
        <f>MONTH(A242)</f>
        <v>8</v>
      </c>
      <c r="AJ242" s="11" t="s">
        <v>47</v>
      </c>
      <c r="AK242" s="11" t="s">
        <v>48</v>
      </c>
      <c r="AM242" s="9" t="s">
        <v>50</v>
      </c>
      <c r="AN242" s="9" t="s">
        <v>53</v>
      </c>
    </row>
    <row r="243" spans="1:40" x14ac:dyDescent="0.4">
      <c r="A243" s="28">
        <v>46248</v>
      </c>
      <c r="B243" s="28"/>
      <c r="C243" s="27"/>
      <c r="D243" s="27"/>
      <c r="E243" s="27"/>
      <c r="F243" s="27"/>
      <c r="G243" s="27"/>
      <c r="H243" s="27"/>
      <c r="I243" s="29" t="str">
        <f t="shared" si="3"/>
        <v/>
      </c>
      <c r="J243" s="29"/>
      <c r="K243" s="29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4">
        <f>IF(ISNUMBER(MATCH(A243, 設定休日!$B$3:$B$50, 0)), 1, "")</f>
        <v>1</v>
      </c>
      <c r="Z243" s="24"/>
      <c r="AA243" s="21"/>
      <c r="AB243" s="27"/>
      <c r="AC243" s="27"/>
      <c r="AD243" s="27"/>
      <c r="AE243" s="27"/>
      <c r="AF243" s="27"/>
      <c r="AG243" s="27"/>
      <c r="AH243" s="27"/>
      <c r="AI243" s="14" t="s">
        <v>41</v>
      </c>
      <c r="AJ243" s="9">
        <f>AM243-AM244+1</f>
        <v>31</v>
      </c>
      <c r="AK243" s="9">
        <f>AJ243</f>
        <v>31</v>
      </c>
      <c r="AM243" s="9">
        <f>MATCH(DATE($A$4,AI242,20),A:A,0)</f>
        <v>249</v>
      </c>
      <c r="AN243" s="9" t="s">
        <v>51</v>
      </c>
    </row>
    <row r="244" spans="1:40" x14ac:dyDescent="0.4">
      <c r="A244" s="28">
        <v>46249</v>
      </c>
      <c r="B244" s="28"/>
      <c r="C244" s="27"/>
      <c r="D244" s="27"/>
      <c r="E244" s="27"/>
      <c r="F244" s="27"/>
      <c r="G244" s="27"/>
      <c r="H244" s="27"/>
      <c r="I244" s="29" t="str">
        <f t="shared" si="3"/>
        <v/>
      </c>
      <c r="J244" s="29"/>
      <c r="K244" s="29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4" t="str">
        <f>IF(ISNUMBER(MATCH(A244, 設定休日!$B$3:$B$50, 0)), 1, "")</f>
        <v/>
      </c>
      <c r="Z244" s="24"/>
      <c r="AA244" s="21"/>
      <c r="AB244" s="27"/>
      <c r="AC244" s="27"/>
      <c r="AD244" s="27"/>
      <c r="AE244" s="27"/>
      <c r="AF244" s="27"/>
      <c r="AG244" s="27"/>
      <c r="AH244" s="27"/>
      <c r="AI244" s="9" t="s">
        <v>42</v>
      </c>
      <c r="AJ244" s="9" cm="1">
        <f t="array" aca="1" ref="AJ244" ca="1">AJ243-SUMPRODUCT(COUNTIF(INDIRECT("A"&amp;AM243&amp;":A"&amp;AM244),祝日!B184:B231))+SUMPRODUCT(COUNTIF(INDIRECT("A"&amp;AM243&amp;":A"&amp;AM244),設定休日!B184:B231))</f>
        <v>31</v>
      </c>
      <c r="AK244" s="9">
        <f ca="1">AJ244</f>
        <v>31</v>
      </c>
      <c r="AM244" s="9">
        <f>MATCH(DATE($A$4,MONTH(A225),21),A:A,0)</f>
        <v>219</v>
      </c>
      <c r="AN244" s="9" t="s">
        <v>52</v>
      </c>
    </row>
    <row r="245" spans="1:40" x14ac:dyDescent="0.4">
      <c r="A245" s="28">
        <v>46250</v>
      </c>
      <c r="B245" s="28"/>
      <c r="C245" s="27"/>
      <c r="D245" s="27"/>
      <c r="E245" s="27"/>
      <c r="F245" s="27"/>
      <c r="G245" s="27"/>
      <c r="H245" s="27"/>
      <c r="I245" s="29" t="str">
        <f t="shared" si="3"/>
        <v/>
      </c>
      <c r="J245" s="29"/>
      <c r="K245" s="29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4" t="str">
        <f>IF(ISNUMBER(MATCH(A245, 設定休日!$B$3:$B$50, 0)), 1, "")</f>
        <v/>
      </c>
      <c r="Z245" s="24"/>
      <c r="AA245" s="21"/>
      <c r="AB245" s="27"/>
      <c r="AC245" s="27"/>
      <c r="AD245" s="27"/>
      <c r="AE245" s="27"/>
      <c r="AF245" s="27"/>
      <c r="AG245" s="27"/>
      <c r="AH245" s="27"/>
      <c r="AI245" s="9" t="s">
        <v>43</v>
      </c>
      <c r="AJ245" s="12">
        <f ca="1">AJ244*TIME(7,0,0)</f>
        <v>9.0416666666666679</v>
      </c>
      <c r="AM245" s="9" t="s">
        <v>54</v>
      </c>
      <c r="AN245" s="9" t="s">
        <v>55</v>
      </c>
    </row>
    <row r="246" spans="1:40" x14ac:dyDescent="0.4">
      <c r="A246" s="28">
        <v>46251</v>
      </c>
      <c r="B246" s="28"/>
      <c r="C246" s="27"/>
      <c r="D246" s="27"/>
      <c r="E246" s="27"/>
      <c r="F246" s="27"/>
      <c r="G246" s="27"/>
      <c r="H246" s="27"/>
      <c r="I246" s="29" t="str">
        <f t="shared" si="3"/>
        <v/>
      </c>
      <c r="J246" s="29"/>
      <c r="K246" s="29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4" t="str">
        <f>IF(ISNUMBER(MATCH(A246, 設定休日!$B$3:$B$50, 0)), 1, "")</f>
        <v/>
      </c>
      <c r="Z246" s="24"/>
      <c r="AA246" s="21"/>
      <c r="AB246" s="27"/>
      <c r="AC246" s="27"/>
      <c r="AD246" s="27"/>
      <c r="AE246" s="27"/>
      <c r="AF246" s="27"/>
      <c r="AG246" s="27"/>
      <c r="AH246" s="27"/>
      <c r="AI246" s="9" t="s">
        <v>44</v>
      </c>
      <c r="AJ246" s="12">
        <f ca="1">SUM(INDIRECT("I"&amp;AM243&amp;":I"&amp;AM244))</f>
        <v>0</v>
      </c>
      <c r="AN246" s="9" t="s">
        <v>59</v>
      </c>
    </row>
    <row r="247" spans="1:40" x14ac:dyDescent="0.4">
      <c r="A247" s="28">
        <v>46252</v>
      </c>
      <c r="B247" s="28"/>
      <c r="C247" s="27"/>
      <c r="D247" s="27"/>
      <c r="E247" s="27"/>
      <c r="F247" s="27"/>
      <c r="G247" s="27"/>
      <c r="H247" s="27"/>
      <c r="I247" s="29" t="str">
        <f t="shared" si="3"/>
        <v/>
      </c>
      <c r="J247" s="29"/>
      <c r="K247" s="29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4" t="str">
        <f>IF(ISNUMBER(MATCH(A247, 設定休日!$B$3:$B$50, 0)), 1, "")</f>
        <v/>
      </c>
      <c r="Z247" s="24"/>
      <c r="AA247" s="21"/>
      <c r="AB247" s="27"/>
      <c r="AC247" s="27"/>
      <c r="AD247" s="27"/>
      <c r="AE247" s="27"/>
      <c r="AF247" s="27"/>
      <c r="AG247" s="27"/>
      <c r="AH247" s="27"/>
      <c r="AI247" s="9" t="s">
        <v>49</v>
      </c>
      <c r="AJ247" s="12" t="str">
        <f ca="1">IF(AJ246-AJ245&lt;=0,"",AJ246-AJ245)</f>
        <v/>
      </c>
    </row>
    <row r="248" spans="1:40" x14ac:dyDescent="0.4">
      <c r="A248" s="28">
        <v>46253</v>
      </c>
      <c r="B248" s="28"/>
      <c r="C248" s="27"/>
      <c r="D248" s="27"/>
      <c r="E248" s="27"/>
      <c r="F248" s="27"/>
      <c r="G248" s="27"/>
      <c r="H248" s="27"/>
      <c r="I248" s="29" t="str">
        <f t="shared" si="3"/>
        <v/>
      </c>
      <c r="J248" s="29"/>
      <c r="K248" s="29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4" t="str">
        <f>IF(ISNUMBER(MATCH(A248, 設定休日!$B$3:$B$50, 0)), 1, "")</f>
        <v/>
      </c>
      <c r="Z248" s="24"/>
      <c r="AA248" s="21"/>
      <c r="AB248" s="27"/>
      <c r="AC248" s="27"/>
      <c r="AD248" s="27"/>
      <c r="AE248" s="27"/>
      <c r="AF248" s="27"/>
      <c r="AG248" s="27"/>
      <c r="AH248" s="27"/>
      <c r="AI248" s="9" t="s">
        <v>45</v>
      </c>
      <c r="AJ248" s="9">
        <f ca="1">COUNTA(INDIRECT("Z"&amp;AM243&amp;":Z"&amp;AM244))</f>
        <v>0</v>
      </c>
      <c r="AK248" s="9" cm="1">
        <f t="array" ref="AK248">SUMPRODUCT( --(Z219:Z594&lt;&gt;""))</f>
        <v>1</v>
      </c>
    </row>
    <row r="249" spans="1:40" ht="19.5" thickBot="1" x14ac:dyDescent="0.45">
      <c r="A249" s="34">
        <v>46254</v>
      </c>
      <c r="B249" s="34"/>
      <c r="C249" s="30"/>
      <c r="D249" s="30"/>
      <c r="E249" s="30"/>
      <c r="F249" s="30"/>
      <c r="G249" s="30"/>
      <c r="H249" s="30"/>
      <c r="I249" s="35" t="str">
        <f t="shared" si="3"/>
        <v/>
      </c>
      <c r="J249" s="35"/>
      <c r="K249" s="35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25" t="str">
        <f>IF(ISNUMBER(MATCH(A249, 設定休日!$B$3:$B$50, 0)), 1, "")</f>
        <v/>
      </c>
      <c r="Z249" s="25"/>
      <c r="AA249" s="23"/>
      <c r="AB249" s="30"/>
      <c r="AC249" s="30"/>
      <c r="AD249" s="30"/>
      <c r="AE249" s="30"/>
      <c r="AF249" s="30"/>
      <c r="AG249" s="30"/>
      <c r="AH249" s="30"/>
      <c r="AI249" s="10" t="s">
        <v>46</v>
      </c>
      <c r="AJ249" s="10">
        <f ca="1">SUM(INDIRECT("AA"&amp;AM243&amp;":AA"&amp;AM244))</f>
        <v>0</v>
      </c>
      <c r="AK249" s="10">
        <f>SUM(AA219:AA594)</f>
        <v>0</v>
      </c>
      <c r="AL249" s="10"/>
      <c r="AM249" s="10"/>
    </row>
    <row r="250" spans="1:40" x14ac:dyDescent="0.4">
      <c r="A250" s="31">
        <v>46255</v>
      </c>
      <c r="B250" s="31"/>
      <c r="C250" s="32"/>
      <c r="D250" s="32"/>
      <c r="E250" s="32"/>
      <c r="F250" s="32"/>
      <c r="G250" s="32"/>
      <c r="H250" s="32"/>
      <c r="I250" s="33" t="str">
        <f t="shared" si="3"/>
        <v/>
      </c>
      <c r="J250" s="33"/>
      <c r="K250" s="33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26" t="str">
        <f>IF(ISNUMBER(MATCH(A250, 設定休日!$B$3:$B$50, 0)), 1, "")</f>
        <v/>
      </c>
      <c r="Z250" s="26"/>
      <c r="AA250" s="22"/>
      <c r="AB250" s="32"/>
      <c r="AC250" s="32"/>
      <c r="AD250" s="32"/>
      <c r="AE250" s="32"/>
      <c r="AF250" s="32"/>
      <c r="AG250" s="32"/>
      <c r="AH250" s="32"/>
    </row>
    <row r="251" spans="1:40" x14ac:dyDescent="0.4">
      <c r="A251" s="28">
        <v>46256</v>
      </c>
      <c r="B251" s="28"/>
      <c r="C251" s="27"/>
      <c r="D251" s="27"/>
      <c r="E251" s="27"/>
      <c r="F251" s="27"/>
      <c r="G251" s="27"/>
      <c r="H251" s="27"/>
      <c r="I251" s="29" t="str">
        <f t="shared" si="3"/>
        <v/>
      </c>
      <c r="J251" s="29"/>
      <c r="K251" s="29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4" t="str">
        <f>IF(ISNUMBER(MATCH(A251, 設定休日!$B$3:$B$50, 0)), 1, "")</f>
        <v/>
      </c>
      <c r="Z251" s="24"/>
      <c r="AA251" s="21"/>
      <c r="AB251" s="27"/>
      <c r="AC251" s="27"/>
      <c r="AD251" s="27"/>
      <c r="AE251" s="27"/>
      <c r="AF251" s="27"/>
      <c r="AG251" s="27"/>
      <c r="AH251" s="27"/>
    </row>
    <row r="252" spans="1:40" x14ac:dyDescent="0.4">
      <c r="A252" s="28">
        <v>46257</v>
      </c>
      <c r="B252" s="28"/>
      <c r="C252" s="27"/>
      <c r="D252" s="27"/>
      <c r="E252" s="27"/>
      <c r="F252" s="27"/>
      <c r="G252" s="27"/>
      <c r="H252" s="27"/>
      <c r="I252" s="29" t="str">
        <f t="shared" si="3"/>
        <v/>
      </c>
      <c r="J252" s="29"/>
      <c r="K252" s="29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4" t="str">
        <f>IF(ISNUMBER(MATCH(A252, 設定休日!$B$3:$B$50, 0)), 1, "")</f>
        <v/>
      </c>
      <c r="Z252" s="24"/>
      <c r="AA252" s="21"/>
      <c r="AB252" s="27"/>
      <c r="AC252" s="27"/>
      <c r="AD252" s="27"/>
      <c r="AE252" s="27"/>
      <c r="AF252" s="27"/>
      <c r="AG252" s="27"/>
      <c r="AH252" s="27"/>
    </row>
    <row r="253" spans="1:40" x14ac:dyDescent="0.4">
      <c r="A253" s="28">
        <v>46258</v>
      </c>
      <c r="B253" s="28"/>
      <c r="C253" s="27"/>
      <c r="D253" s="27"/>
      <c r="E253" s="27"/>
      <c r="F253" s="27"/>
      <c r="G253" s="27"/>
      <c r="H253" s="27"/>
      <c r="I253" s="29" t="str">
        <f t="shared" si="3"/>
        <v/>
      </c>
      <c r="J253" s="29"/>
      <c r="K253" s="29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4" t="str">
        <f>IF(ISNUMBER(MATCH(A253, 設定休日!$B$3:$B$50, 0)), 1, "")</f>
        <v/>
      </c>
      <c r="Z253" s="24"/>
      <c r="AA253" s="21"/>
      <c r="AB253" s="27"/>
      <c r="AC253" s="27"/>
      <c r="AD253" s="27"/>
      <c r="AE253" s="27"/>
      <c r="AF253" s="27"/>
      <c r="AG253" s="27"/>
      <c r="AH253" s="27"/>
    </row>
    <row r="254" spans="1:40" x14ac:dyDescent="0.4">
      <c r="A254" s="28">
        <v>46259</v>
      </c>
      <c r="B254" s="28"/>
      <c r="C254" s="27"/>
      <c r="D254" s="27"/>
      <c r="E254" s="27"/>
      <c r="F254" s="27"/>
      <c r="G254" s="27"/>
      <c r="H254" s="27"/>
      <c r="I254" s="29" t="str">
        <f t="shared" si="3"/>
        <v/>
      </c>
      <c r="J254" s="29"/>
      <c r="K254" s="29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4" t="str">
        <f>IF(ISNUMBER(MATCH(A254, 設定休日!$B$3:$B$50, 0)), 1, "")</f>
        <v/>
      </c>
      <c r="Z254" s="24"/>
      <c r="AA254" s="21"/>
      <c r="AB254" s="27"/>
      <c r="AC254" s="27"/>
      <c r="AD254" s="27"/>
      <c r="AE254" s="27"/>
      <c r="AF254" s="27"/>
      <c r="AG254" s="27"/>
      <c r="AH254" s="27"/>
    </row>
    <row r="255" spans="1:40" x14ac:dyDescent="0.4">
      <c r="A255" s="28">
        <v>46260</v>
      </c>
      <c r="B255" s="28"/>
      <c r="C255" s="27"/>
      <c r="D255" s="27"/>
      <c r="E255" s="27"/>
      <c r="F255" s="27"/>
      <c r="G255" s="27"/>
      <c r="H255" s="27"/>
      <c r="I255" s="29" t="str">
        <f t="shared" si="3"/>
        <v/>
      </c>
      <c r="J255" s="29"/>
      <c r="K255" s="29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4" t="str">
        <f>IF(ISNUMBER(MATCH(A255, 設定休日!$B$3:$B$50, 0)), 1, "")</f>
        <v/>
      </c>
      <c r="Z255" s="24"/>
      <c r="AA255" s="21"/>
      <c r="AB255" s="27"/>
      <c r="AC255" s="27"/>
      <c r="AD255" s="27"/>
      <c r="AE255" s="27"/>
      <c r="AF255" s="27"/>
      <c r="AG255" s="27"/>
      <c r="AH255" s="27"/>
    </row>
    <row r="256" spans="1:40" x14ac:dyDescent="0.4">
      <c r="A256" s="28">
        <v>46261</v>
      </c>
      <c r="B256" s="28"/>
      <c r="C256" s="27"/>
      <c r="D256" s="27"/>
      <c r="E256" s="27"/>
      <c r="F256" s="27"/>
      <c r="G256" s="27"/>
      <c r="H256" s="27"/>
      <c r="I256" s="29" t="str">
        <f t="shared" si="3"/>
        <v/>
      </c>
      <c r="J256" s="29"/>
      <c r="K256" s="29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4" t="str">
        <f>IF(ISNUMBER(MATCH(A256, 設定休日!$B$3:$B$50, 0)), 1, "")</f>
        <v/>
      </c>
      <c r="Z256" s="24"/>
      <c r="AA256" s="21"/>
      <c r="AB256" s="27"/>
      <c r="AC256" s="27"/>
      <c r="AD256" s="27"/>
      <c r="AE256" s="27"/>
      <c r="AF256" s="27"/>
      <c r="AG256" s="27"/>
      <c r="AH256" s="27"/>
    </row>
    <row r="257" spans="1:34" x14ac:dyDescent="0.4">
      <c r="A257" s="28">
        <v>46262</v>
      </c>
      <c r="B257" s="28"/>
      <c r="C257" s="27"/>
      <c r="D257" s="27"/>
      <c r="E257" s="27"/>
      <c r="F257" s="27"/>
      <c r="G257" s="27"/>
      <c r="H257" s="27"/>
      <c r="I257" s="29" t="str">
        <f t="shared" si="3"/>
        <v/>
      </c>
      <c r="J257" s="29"/>
      <c r="K257" s="29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4" t="str">
        <f>IF(ISNUMBER(MATCH(A257, 設定休日!$B$3:$B$50, 0)), 1, "")</f>
        <v/>
      </c>
      <c r="Z257" s="24"/>
      <c r="AA257" s="21"/>
      <c r="AB257" s="27"/>
      <c r="AC257" s="27"/>
      <c r="AD257" s="27"/>
      <c r="AE257" s="27"/>
      <c r="AF257" s="27"/>
      <c r="AG257" s="27"/>
      <c r="AH257" s="27"/>
    </row>
    <row r="258" spans="1:34" x14ac:dyDescent="0.4">
      <c r="A258" s="28">
        <v>46263</v>
      </c>
      <c r="B258" s="28"/>
      <c r="C258" s="27"/>
      <c r="D258" s="27"/>
      <c r="E258" s="27"/>
      <c r="F258" s="27"/>
      <c r="G258" s="27"/>
      <c r="H258" s="27"/>
      <c r="I258" s="29" t="str">
        <f t="shared" si="3"/>
        <v/>
      </c>
      <c r="J258" s="29"/>
      <c r="K258" s="29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4" t="str">
        <f>IF(ISNUMBER(MATCH(A258, 設定休日!$B$3:$B$50, 0)), 1, "")</f>
        <v/>
      </c>
      <c r="Z258" s="24"/>
      <c r="AA258" s="21"/>
      <c r="AB258" s="27"/>
      <c r="AC258" s="27"/>
      <c r="AD258" s="27"/>
      <c r="AE258" s="27"/>
      <c r="AF258" s="27"/>
      <c r="AG258" s="27"/>
      <c r="AH258" s="27"/>
    </row>
    <row r="259" spans="1:34" x14ac:dyDescent="0.4">
      <c r="A259" s="28">
        <v>46264</v>
      </c>
      <c r="B259" s="28"/>
      <c r="C259" s="27"/>
      <c r="D259" s="27"/>
      <c r="E259" s="27"/>
      <c r="F259" s="27"/>
      <c r="G259" s="27"/>
      <c r="H259" s="27"/>
      <c r="I259" s="29" t="str">
        <f t="shared" si="3"/>
        <v/>
      </c>
      <c r="J259" s="29"/>
      <c r="K259" s="29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4" t="str">
        <f>IF(ISNUMBER(MATCH(A259, 設定休日!$B$3:$B$50, 0)), 1, "")</f>
        <v/>
      </c>
      <c r="Z259" s="24"/>
      <c r="AA259" s="21"/>
      <c r="AB259" s="27"/>
      <c r="AC259" s="27"/>
      <c r="AD259" s="27"/>
      <c r="AE259" s="27"/>
      <c r="AF259" s="27"/>
      <c r="AG259" s="27"/>
      <c r="AH259" s="27"/>
    </row>
    <row r="260" spans="1:34" x14ac:dyDescent="0.4">
      <c r="A260" s="28">
        <v>46265</v>
      </c>
      <c r="B260" s="28"/>
      <c r="C260" s="27"/>
      <c r="D260" s="27"/>
      <c r="E260" s="27"/>
      <c r="F260" s="27"/>
      <c r="G260" s="27"/>
      <c r="H260" s="27"/>
      <c r="I260" s="29" t="str">
        <f t="shared" si="3"/>
        <v/>
      </c>
      <c r="J260" s="29"/>
      <c r="K260" s="29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4" t="str">
        <f>IF(ISNUMBER(MATCH(A260, 設定休日!$B$3:$B$50, 0)), 1, "")</f>
        <v/>
      </c>
      <c r="Z260" s="24"/>
      <c r="AA260" s="21"/>
      <c r="AB260" s="27"/>
      <c r="AC260" s="27"/>
      <c r="AD260" s="27"/>
      <c r="AE260" s="27"/>
      <c r="AF260" s="27"/>
      <c r="AG260" s="27"/>
      <c r="AH260" s="27"/>
    </row>
    <row r="261" spans="1:34" x14ac:dyDescent="0.4">
      <c r="A261" s="28">
        <v>46266</v>
      </c>
      <c r="B261" s="28"/>
      <c r="C261" s="27"/>
      <c r="D261" s="27"/>
      <c r="E261" s="27"/>
      <c r="F261" s="27"/>
      <c r="G261" s="27"/>
      <c r="H261" s="27"/>
      <c r="I261" s="29" t="str">
        <f t="shared" si="3"/>
        <v/>
      </c>
      <c r="J261" s="29"/>
      <c r="K261" s="29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4" t="str">
        <f>IF(ISNUMBER(MATCH(A261, 設定休日!$B$3:$B$50, 0)), 1, "")</f>
        <v/>
      </c>
      <c r="Z261" s="24"/>
      <c r="AA261" s="21"/>
      <c r="AB261" s="27"/>
      <c r="AC261" s="27"/>
      <c r="AD261" s="27"/>
      <c r="AE261" s="27"/>
      <c r="AF261" s="27"/>
      <c r="AG261" s="27"/>
      <c r="AH261" s="27"/>
    </row>
    <row r="262" spans="1:34" x14ac:dyDescent="0.4">
      <c r="A262" s="28">
        <v>46267</v>
      </c>
      <c r="B262" s="28"/>
      <c r="C262" s="27"/>
      <c r="D262" s="27"/>
      <c r="E262" s="27"/>
      <c r="F262" s="27"/>
      <c r="G262" s="27"/>
      <c r="H262" s="27"/>
      <c r="I262" s="29" t="str">
        <f t="shared" si="3"/>
        <v/>
      </c>
      <c r="J262" s="29"/>
      <c r="K262" s="29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4" t="str">
        <f>IF(ISNUMBER(MATCH(A262, 設定休日!$B$3:$B$50, 0)), 1, "")</f>
        <v/>
      </c>
      <c r="Z262" s="24"/>
      <c r="AA262" s="21"/>
      <c r="AB262" s="27"/>
      <c r="AC262" s="27"/>
      <c r="AD262" s="27"/>
      <c r="AE262" s="27"/>
      <c r="AF262" s="27"/>
      <c r="AG262" s="27"/>
      <c r="AH262" s="27"/>
    </row>
    <row r="263" spans="1:34" x14ac:dyDescent="0.4">
      <c r="A263" s="28">
        <v>46268</v>
      </c>
      <c r="B263" s="28"/>
      <c r="C263" s="27"/>
      <c r="D263" s="27"/>
      <c r="E263" s="27"/>
      <c r="F263" s="27"/>
      <c r="G263" s="27"/>
      <c r="H263" s="27"/>
      <c r="I263" s="29" t="str">
        <f t="shared" si="3"/>
        <v/>
      </c>
      <c r="J263" s="29"/>
      <c r="K263" s="29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4" t="str">
        <f>IF(ISNUMBER(MATCH(A263, 設定休日!$B$3:$B$50, 0)), 1, "")</f>
        <v/>
      </c>
      <c r="Z263" s="24"/>
      <c r="AA263" s="21"/>
      <c r="AB263" s="27"/>
      <c r="AC263" s="27"/>
      <c r="AD263" s="27"/>
      <c r="AE263" s="27"/>
      <c r="AF263" s="27"/>
      <c r="AG263" s="27"/>
      <c r="AH263" s="27"/>
    </row>
    <row r="264" spans="1:34" x14ac:dyDescent="0.4">
      <c r="A264" s="28">
        <v>46269</v>
      </c>
      <c r="B264" s="28"/>
      <c r="C264" s="27"/>
      <c r="D264" s="27"/>
      <c r="E264" s="27"/>
      <c r="F264" s="27"/>
      <c r="G264" s="27"/>
      <c r="H264" s="27"/>
      <c r="I264" s="29" t="str">
        <f t="shared" ref="I264:I327" si="4">IF(F264="","",F264-C264-TIME(1,0,0))</f>
        <v/>
      </c>
      <c r="J264" s="29"/>
      <c r="K264" s="29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4" t="str">
        <f>IF(ISNUMBER(MATCH(A264, 設定休日!$B$3:$B$50, 0)), 1, "")</f>
        <v/>
      </c>
      <c r="Z264" s="24"/>
      <c r="AA264" s="21"/>
      <c r="AB264" s="27"/>
      <c r="AC264" s="27"/>
      <c r="AD264" s="27"/>
      <c r="AE264" s="27"/>
      <c r="AF264" s="27"/>
      <c r="AG264" s="27"/>
      <c r="AH264" s="27"/>
    </row>
    <row r="265" spans="1:34" x14ac:dyDescent="0.4">
      <c r="A265" s="28">
        <v>46270</v>
      </c>
      <c r="B265" s="28"/>
      <c r="C265" s="27"/>
      <c r="D265" s="27"/>
      <c r="E265" s="27"/>
      <c r="F265" s="27"/>
      <c r="G265" s="27"/>
      <c r="H265" s="27"/>
      <c r="I265" s="29" t="str">
        <f t="shared" si="4"/>
        <v/>
      </c>
      <c r="J265" s="29"/>
      <c r="K265" s="29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4" t="str">
        <f>IF(ISNUMBER(MATCH(A265, 設定休日!$B$3:$B$50, 0)), 1, "")</f>
        <v/>
      </c>
      <c r="Z265" s="24"/>
      <c r="AA265" s="21"/>
      <c r="AB265" s="27"/>
      <c r="AC265" s="27"/>
      <c r="AD265" s="27"/>
      <c r="AE265" s="27"/>
      <c r="AF265" s="27"/>
      <c r="AG265" s="27"/>
      <c r="AH265" s="27"/>
    </row>
    <row r="266" spans="1:34" x14ac:dyDescent="0.4">
      <c r="A266" s="28">
        <v>46271</v>
      </c>
      <c r="B266" s="28"/>
      <c r="C266" s="27"/>
      <c r="D266" s="27"/>
      <c r="E266" s="27"/>
      <c r="F266" s="27"/>
      <c r="G266" s="27"/>
      <c r="H266" s="27"/>
      <c r="I266" s="29" t="str">
        <f t="shared" si="4"/>
        <v/>
      </c>
      <c r="J266" s="29"/>
      <c r="K266" s="29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4" t="str">
        <f>IF(ISNUMBER(MATCH(A266, 設定休日!$B$3:$B$50, 0)), 1, "")</f>
        <v/>
      </c>
      <c r="Z266" s="24"/>
      <c r="AA266" s="21"/>
      <c r="AB266" s="27"/>
      <c r="AC266" s="27"/>
      <c r="AD266" s="27"/>
      <c r="AE266" s="27"/>
      <c r="AF266" s="27"/>
      <c r="AG266" s="27"/>
      <c r="AH266" s="27"/>
    </row>
    <row r="267" spans="1:34" x14ac:dyDescent="0.4">
      <c r="A267" s="28">
        <v>46272</v>
      </c>
      <c r="B267" s="28"/>
      <c r="C267" s="27"/>
      <c r="D267" s="27"/>
      <c r="E267" s="27"/>
      <c r="F267" s="27"/>
      <c r="G267" s="27"/>
      <c r="H267" s="27"/>
      <c r="I267" s="29" t="str">
        <f t="shared" si="4"/>
        <v/>
      </c>
      <c r="J267" s="29"/>
      <c r="K267" s="29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4" t="str">
        <f>IF(ISNUMBER(MATCH(A267, 設定休日!$B$3:$B$50, 0)), 1, "")</f>
        <v/>
      </c>
      <c r="Z267" s="24"/>
      <c r="AA267" s="21"/>
      <c r="AB267" s="27"/>
      <c r="AC267" s="27"/>
      <c r="AD267" s="27"/>
      <c r="AE267" s="27"/>
      <c r="AF267" s="27"/>
      <c r="AG267" s="27"/>
      <c r="AH267" s="27"/>
    </row>
    <row r="268" spans="1:34" x14ac:dyDescent="0.4">
      <c r="A268" s="28">
        <v>46273</v>
      </c>
      <c r="B268" s="28"/>
      <c r="C268" s="27"/>
      <c r="D268" s="27"/>
      <c r="E268" s="27"/>
      <c r="F268" s="27"/>
      <c r="G268" s="27"/>
      <c r="H268" s="27"/>
      <c r="I268" s="29" t="str">
        <f t="shared" si="4"/>
        <v/>
      </c>
      <c r="J268" s="29"/>
      <c r="K268" s="29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4" t="str">
        <f>IF(ISNUMBER(MATCH(A268, 設定休日!$B$3:$B$50, 0)), 1, "")</f>
        <v/>
      </c>
      <c r="Z268" s="24"/>
      <c r="AA268" s="21"/>
      <c r="AB268" s="27"/>
      <c r="AC268" s="27"/>
      <c r="AD268" s="27"/>
      <c r="AE268" s="27"/>
      <c r="AF268" s="27"/>
      <c r="AG268" s="27"/>
      <c r="AH268" s="27"/>
    </row>
    <row r="269" spans="1:34" x14ac:dyDescent="0.4">
      <c r="A269" s="28">
        <v>46274</v>
      </c>
      <c r="B269" s="28"/>
      <c r="C269" s="27"/>
      <c r="D269" s="27"/>
      <c r="E269" s="27"/>
      <c r="F269" s="27"/>
      <c r="G269" s="27"/>
      <c r="H269" s="27"/>
      <c r="I269" s="29" t="str">
        <f t="shared" si="4"/>
        <v/>
      </c>
      <c r="J269" s="29"/>
      <c r="K269" s="29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4" t="str">
        <f>IF(ISNUMBER(MATCH(A269, 設定休日!$B$3:$B$50, 0)), 1, "")</f>
        <v/>
      </c>
      <c r="Z269" s="24"/>
      <c r="AA269" s="21"/>
      <c r="AB269" s="27"/>
      <c r="AC269" s="27"/>
      <c r="AD269" s="27"/>
      <c r="AE269" s="27"/>
      <c r="AF269" s="27"/>
      <c r="AG269" s="27"/>
      <c r="AH269" s="27"/>
    </row>
    <row r="270" spans="1:34" x14ac:dyDescent="0.4">
      <c r="A270" s="28">
        <v>46275</v>
      </c>
      <c r="B270" s="28"/>
      <c r="C270" s="27"/>
      <c r="D270" s="27"/>
      <c r="E270" s="27"/>
      <c r="F270" s="27"/>
      <c r="G270" s="27"/>
      <c r="H270" s="27"/>
      <c r="I270" s="29" t="str">
        <f t="shared" si="4"/>
        <v/>
      </c>
      <c r="J270" s="29"/>
      <c r="K270" s="29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4" t="str">
        <f>IF(ISNUMBER(MATCH(A270, 設定休日!$B$3:$B$50, 0)), 1, "")</f>
        <v/>
      </c>
      <c r="Z270" s="24"/>
      <c r="AA270" s="21"/>
      <c r="AB270" s="27"/>
      <c r="AC270" s="27"/>
      <c r="AD270" s="27"/>
      <c r="AE270" s="27"/>
      <c r="AF270" s="27"/>
      <c r="AG270" s="27"/>
      <c r="AH270" s="27"/>
    </row>
    <row r="271" spans="1:34" x14ac:dyDescent="0.4">
      <c r="A271" s="28">
        <v>46276</v>
      </c>
      <c r="B271" s="28"/>
      <c r="C271" s="27"/>
      <c r="D271" s="27"/>
      <c r="E271" s="27"/>
      <c r="F271" s="27"/>
      <c r="G271" s="27"/>
      <c r="H271" s="27"/>
      <c r="I271" s="29" t="str">
        <f t="shared" si="4"/>
        <v/>
      </c>
      <c r="J271" s="29"/>
      <c r="K271" s="29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4" t="str">
        <f>IF(ISNUMBER(MATCH(A271, 設定休日!$B$3:$B$50, 0)), 1, "")</f>
        <v/>
      </c>
      <c r="Z271" s="24"/>
      <c r="AA271" s="21"/>
      <c r="AB271" s="27"/>
      <c r="AC271" s="27"/>
      <c r="AD271" s="27"/>
      <c r="AE271" s="27"/>
      <c r="AF271" s="27"/>
      <c r="AG271" s="27"/>
      <c r="AH271" s="27"/>
    </row>
    <row r="272" spans="1:34" x14ac:dyDescent="0.4">
      <c r="A272" s="28">
        <v>46277</v>
      </c>
      <c r="B272" s="28"/>
      <c r="C272" s="27"/>
      <c r="D272" s="27"/>
      <c r="E272" s="27"/>
      <c r="F272" s="27"/>
      <c r="G272" s="27"/>
      <c r="H272" s="27"/>
      <c r="I272" s="29" t="str">
        <f t="shared" si="4"/>
        <v/>
      </c>
      <c r="J272" s="29"/>
      <c r="K272" s="29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4" t="str">
        <f>IF(ISNUMBER(MATCH(A272, 設定休日!$B$3:$B$50, 0)), 1, "")</f>
        <v/>
      </c>
      <c r="Z272" s="24"/>
      <c r="AA272" s="21"/>
      <c r="AB272" s="27"/>
      <c r="AC272" s="27"/>
      <c r="AD272" s="27"/>
      <c r="AE272" s="27"/>
      <c r="AF272" s="27"/>
      <c r="AG272" s="27"/>
      <c r="AH272" s="27"/>
    </row>
    <row r="273" spans="1:40" x14ac:dyDescent="0.4">
      <c r="A273" s="28">
        <v>46278</v>
      </c>
      <c r="B273" s="28"/>
      <c r="C273" s="27"/>
      <c r="D273" s="27"/>
      <c r="E273" s="27"/>
      <c r="F273" s="27"/>
      <c r="G273" s="27"/>
      <c r="H273" s="27"/>
      <c r="I273" s="29" t="str">
        <f t="shared" si="4"/>
        <v/>
      </c>
      <c r="J273" s="29"/>
      <c r="K273" s="29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4" t="str">
        <f>IF(ISNUMBER(MATCH(A273, 設定休日!$B$3:$B$50, 0)), 1, "")</f>
        <v/>
      </c>
      <c r="Z273" s="24"/>
      <c r="AA273" s="21"/>
      <c r="AB273" s="27"/>
      <c r="AC273" s="27"/>
      <c r="AD273" s="27"/>
      <c r="AE273" s="27"/>
      <c r="AF273" s="27"/>
      <c r="AG273" s="27"/>
      <c r="AH273" s="27"/>
      <c r="AI273" s="13">
        <f>MONTH(A273)</f>
        <v>9</v>
      </c>
      <c r="AJ273" s="11" t="s">
        <v>47</v>
      </c>
      <c r="AK273" s="11" t="s">
        <v>48</v>
      </c>
      <c r="AM273" s="9" t="s">
        <v>50</v>
      </c>
      <c r="AN273" s="9" t="s">
        <v>53</v>
      </c>
    </row>
    <row r="274" spans="1:40" x14ac:dyDescent="0.4">
      <c r="A274" s="28">
        <v>46279</v>
      </c>
      <c r="B274" s="28"/>
      <c r="C274" s="27"/>
      <c r="D274" s="27"/>
      <c r="E274" s="27"/>
      <c r="F274" s="27"/>
      <c r="G274" s="27"/>
      <c r="H274" s="27"/>
      <c r="I274" s="29" t="str">
        <f t="shared" si="4"/>
        <v/>
      </c>
      <c r="J274" s="29"/>
      <c r="K274" s="29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4" t="str">
        <f>IF(ISNUMBER(MATCH(A274, 設定休日!$B$3:$B$50, 0)), 1, "")</f>
        <v/>
      </c>
      <c r="Z274" s="24"/>
      <c r="AA274" s="21"/>
      <c r="AB274" s="27"/>
      <c r="AC274" s="27"/>
      <c r="AD274" s="27"/>
      <c r="AE274" s="27"/>
      <c r="AF274" s="27"/>
      <c r="AG274" s="27"/>
      <c r="AH274" s="27"/>
      <c r="AI274" s="14" t="s">
        <v>41</v>
      </c>
      <c r="AJ274" s="9">
        <f>AM274-AM275+1</f>
        <v>31</v>
      </c>
      <c r="AK274" s="9">
        <f>AJ274</f>
        <v>31</v>
      </c>
      <c r="AM274" s="9">
        <f>MATCH(DATE($A$4,AI273,20),A:A,0)</f>
        <v>280</v>
      </c>
      <c r="AN274" s="9" t="s">
        <v>51</v>
      </c>
    </row>
    <row r="275" spans="1:40" x14ac:dyDescent="0.4">
      <c r="A275" s="28">
        <v>46280</v>
      </c>
      <c r="B275" s="28"/>
      <c r="C275" s="27"/>
      <c r="D275" s="27"/>
      <c r="E275" s="27"/>
      <c r="F275" s="27"/>
      <c r="G275" s="27"/>
      <c r="H275" s="27"/>
      <c r="I275" s="29" t="str">
        <f t="shared" si="4"/>
        <v/>
      </c>
      <c r="J275" s="29"/>
      <c r="K275" s="29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4" t="str">
        <f>IF(ISNUMBER(MATCH(A275, 設定休日!$B$3:$B$50, 0)), 1, "")</f>
        <v/>
      </c>
      <c r="Z275" s="24"/>
      <c r="AA275" s="21"/>
      <c r="AB275" s="27"/>
      <c r="AC275" s="27"/>
      <c r="AD275" s="27"/>
      <c r="AE275" s="27"/>
      <c r="AF275" s="27"/>
      <c r="AG275" s="27"/>
      <c r="AH275" s="27"/>
      <c r="AI275" s="9" t="s">
        <v>42</v>
      </c>
      <c r="AJ275" s="9" cm="1">
        <f t="array" aca="1" ref="AJ275" ca="1">AJ274-SUMPRODUCT(COUNTIF(INDIRECT("A"&amp;AM274&amp;":A"&amp;AM275),祝日!B215:B262))+SUMPRODUCT(COUNTIF(INDIRECT("A"&amp;AM274&amp;":A"&amp;AM275),設定休日!B215:B262))</f>
        <v>31</v>
      </c>
      <c r="AK275" s="9">
        <f ca="1">AJ275</f>
        <v>31</v>
      </c>
      <c r="AM275" s="9">
        <f>MATCH(DATE(IF(MONTH(A256)=12,$A$4-1,$A$4),MONTH(A256),21),A:A,0)</f>
        <v>250</v>
      </c>
      <c r="AN275" s="9" t="s">
        <v>52</v>
      </c>
    </row>
    <row r="276" spans="1:40" x14ac:dyDescent="0.4">
      <c r="A276" s="28">
        <v>46281</v>
      </c>
      <c r="B276" s="28"/>
      <c r="C276" s="27"/>
      <c r="D276" s="27"/>
      <c r="E276" s="27"/>
      <c r="F276" s="27"/>
      <c r="G276" s="27"/>
      <c r="H276" s="27"/>
      <c r="I276" s="29" t="str">
        <f t="shared" si="4"/>
        <v/>
      </c>
      <c r="J276" s="29"/>
      <c r="K276" s="29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4" t="str">
        <f>IF(ISNUMBER(MATCH(A276, 設定休日!$B$3:$B$50, 0)), 1, "")</f>
        <v/>
      </c>
      <c r="Z276" s="24"/>
      <c r="AA276" s="21"/>
      <c r="AB276" s="27"/>
      <c r="AC276" s="27"/>
      <c r="AD276" s="27"/>
      <c r="AE276" s="27"/>
      <c r="AF276" s="27"/>
      <c r="AG276" s="27"/>
      <c r="AH276" s="27"/>
      <c r="AI276" s="9" t="s">
        <v>43</v>
      </c>
      <c r="AJ276" s="12">
        <f ca="1">AJ275*TIME(7,0,0)</f>
        <v>9.0416666666666679</v>
      </c>
      <c r="AM276" s="9" t="s">
        <v>54</v>
      </c>
      <c r="AN276" s="9" t="s">
        <v>55</v>
      </c>
    </row>
    <row r="277" spans="1:40" x14ac:dyDescent="0.4">
      <c r="A277" s="28">
        <v>46282</v>
      </c>
      <c r="B277" s="28"/>
      <c r="C277" s="27"/>
      <c r="D277" s="27"/>
      <c r="E277" s="27"/>
      <c r="F277" s="27"/>
      <c r="G277" s="27"/>
      <c r="H277" s="27"/>
      <c r="I277" s="29" t="str">
        <f t="shared" si="4"/>
        <v/>
      </c>
      <c r="J277" s="29"/>
      <c r="K277" s="29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4" t="str">
        <f>IF(ISNUMBER(MATCH(A277, 設定休日!$B$3:$B$50, 0)), 1, "")</f>
        <v/>
      </c>
      <c r="Z277" s="24"/>
      <c r="AA277" s="21"/>
      <c r="AB277" s="27"/>
      <c r="AC277" s="27"/>
      <c r="AD277" s="27"/>
      <c r="AE277" s="27"/>
      <c r="AF277" s="27"/>
      <c r="AG277" s="27"/>
      <c r="AH277" s="27"/>
      <c r="AI277" s="9" t="s">
        <v>44</v>
      </c>
      <c r="AJ277" s="12">
        <f ca="1">SUM(INDIRECT("I"&amp;AM274&amp;":I"&amp;AM275))</f>
        <v>0</v>
      </c>
      <c r="AN277" s="9" t="s">
        <v>59</v>
      </c>
    </row>
    <row r="278" spans="1:40" x14ac:dyDescent="0.4">
      <c r="A278" s="28">
        <v>46283</v>
      </c>
      <c r="B278" s="28"/>
      <c r="C278" s="27"/>
      <c r="D278" s="27"/>
      <c r="E278" s="27"/>
      <c r="F278" s="27"/>
      <c r="G278" s="27"/>
      <c r="H278" s="27"/>
      <c r="I278" s="29" t="str">
        <f t="shared" si="4"/>
        <v/>
      </c>
      <c r="J278" s="29"/>
      <c r="K278" s="29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4" t="str">
        <f>IF(ISNUMBER(MATCH(A278, 設定休日!$B$3:$B$50, 0)), 1, "")</f>
        <v/>
      </c>
      <c r="Z278" s="24"/>
      <c r="AA278" s="21"/>
      <c r="AB278" s="27"/>
      <c r="AC278" s="27"/>
      <c r="AD278" s="27"/>
      <c r="AE278" s="27"/>
      <c r="AF278" s="27"/>
      <c r="AG278" s="27"/>
      <c r="AH278" s="27"/>
      <c r="AI278" s="9" t="s">
        <v>49</v>
      </c>
      <c r="AJ278" s="12" t="str">
        <f ca="1">IF(AJ277-AJ276&lt;=0,"",AJ277-AJ276)</f>
        <v/>
      </c>
    </row>
    <row r="279" spans="1:40" x14ac:dyDescent="0.4">
      <c r="A279" s="28">
        <v>46284</v>
      </c>
      <c r="B279" s="28"/>
      <c r="C279" s="27"/>
      <c r="D279" s="27"/>
      <c r="E279" s="27"/>
      <c r="F279" s="27"/>
      <c r="G279" s="27"/>
      <c r="H279" s="27"/>
      <c r="I279" s="29" t="str">
        <f t="shared" si="4"/>
        <v/>
      </c>
      <c r="J279" s="29"/>
      <c r="K279" s="29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4" t="str">
        <f>IF(ISNUMBER(MATCH(A279, 設定休日!$B$3:$B$50, 0)), 1, "")</f>
        <v/>
      </c>
      <c r="Z279" s="24"/>
      <c r="AA279" s="21"/>
      <c r="AB279" s="27"/>
      <c r="AC279" s="27"/>
      <c r="AD279" s="27"/>
      <c r="AE279" s="27"/>
      <c r="AF279" s="27"/>
      <c r="AG279" s="27"/>
      <c r="AH279" s="27"/>
      <c r="AI279" s="9" t="s">
        <v>45</v>
      </c>
      <c r="AJ279" s="9">
        <f ca="1">COUNTA(INDIRECT("Z"&amp;AM274&amp;":Z"&amp;AM275))</f>
        <v>0</v>
      </c>
      <c r="AK279" s="9" cm="1">
        <f t="array" ref="AK279">SUMPRODUCT( --(Z250:Z625&lt;&gt;""))</f>
        <v>1</v>
      </c>
    </row>
    <row r="280" spans="1:40" ht="19.5" thickBot="1" x14ac:dyDescent="0.45">
      <c r="A280" s="34">
        <v>46285</v>
      </c>
      <c r="B280" s="34"/>
      <c r="C280" s="30"/>
      <c r="D280" s="30"/>
      <c r="E280" s="30"/>
      <c r="F280" s="30"/>
      <c r="G280" s="30"/>
      <c r="H280" s="30"/>
      <c r="I280" s="35" t="str">
        <f t="shared" si="4"/>
        <v/>
      </c>
      <c r="J280" s="35"/>
      <c r="K280" s="35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25" t="str">
        <f>IF(ISNUMBER(MATCH(A280, 設定休日!$B$3:$B$50, 0)), 1, "")</f>
        <v/>
      </c>
      <c r="Z280" s="25"/>
      <c r="AA280" s="23"/>
      <c r="AB280" s="30"/>
      <c r="AC280" s="30"/>
      <c r="AD280" s="30"/>
      <c r="AE280" s="30"/>
      <c r="AF280" s="30"/>
      <c r="AG280" s="30"/>
      <c r="AH280" s="30"/>
      <c r="AI280" s="10" t="s">
        <v>46</v>
      </c>
      <c r="AJ280" s="10">
        <f ca="1">SUM(INDIRECT("AA"&amp;AM274&amp;":AA"&amp;AM275))</f>
        <v>0</v>
      </c>
      <c r="AK280" s="10">
        <f>SUM(AA250:AA625)</f>
        <v>0</v>
      </c>
      <c r="AL280" s="10"/>
      <c r="AM280" s="10"/>
    </row>
    <row r="281" spans="1:40" x14ac:dyDescent="0.4">
      <c r="A281" s="31">
        <v>46286</v>
      </c>
      <c r="B281" s="31"/>
      <c r="C281" s="32"/>
      <c r="D281" s="32"/>
      <c r="E281" s="32"/>
      <c r="F281" s="32"/>
      <c r="G281" s="32"/>
      <c r="H281" s="32"/>
      <c r="I281" s="33" t="str">
        <f t="shared" si="4"/>
        <v/>
      </c>
      <c r="J281" s="33"/>
      <c r="K281" s="33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26" t="str">
        <f>IF(ISNUMBER(MATCH(A281, 設定休日!$B$3:$B$50, 0)), 1, "")</f>
        <v/>
      </c>
      <c r="Z281" s="26"/>
      <c r="AA281" s="22"/>
      <c r="AB281" s="32"/>
      <c r="AC281" s="32"/>
      <c r="AD281" s="32"/>
      <c r="AE281" s="32"/>
      <c r="AF281" s="32"/>
      <c r="AG281" s="32"/>
      <c r="AH281" s="32"/>
    </row>
    <row r="282" spans="1:40" x14ac:dyDescent="0.4">
      <c r="A282" s="28">
        <v>46287</v>
      </c>
      <c r="B282" s="28"/>
      <c r="C282" s="27"/>
      <c r="D282" s="27"/>
      <c r="E282" s="27"/>
      <c r="F282" s="27"/>
      <c r="G282" s="27"/>
      <c r="H282" s="27"/>
      <c r="I282" s="29" t="str">
        <f t="shared" si="4"/>
        <v/>
      </c>
      <c r="J282" s="29"/>
      <c r="K282" s="29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4" t="str">
        <f>IF(ISNUMBER(MATCH(A282, 設定休日!$B$3:$B$50, 0)), 1, "")</f>
        <v/>
      </c>
      <c r="Z282" s="24"/>
      <c r="AA282" s="21"/>
      <c r="AB282" s="27"/>
      <c r="AC282" s="27"/>
      <c r="AD282" s="27"/>
      <c r="AE282" s="27"/>
      <c r="AF282" s="27"/>
      <c r="AG282" s="27"/>
      <c r="AH282" s="27"/>
    </row>
    <row r="283" spans="1:40" x14ac:dyDescent="0.4">
      <c r="A283" s="28">
        <v>46288</v>
      </c>
      <c r="B283" s="28"/>
      <c r="C283" s="27"/>
      <c r="D283" s="27"/>
      <c r="E283" s="27"/>
      <c r="F283" s="27"/>
      <c r="G283" s="27"/>
      <c r="H283" s="27"/>
      <c r="I283" s="29" t="str">
        <f t="shared" si="4"/>
        <v/>
      </c>
      <c r="J283" s="29"/>
      <c r="K283" s="29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4" t="str">
        <f>IF(ISNUMBER(MATCH(A283, 設定休日!$B$3:$B$50, 0)), 1, "")</f>
        <v/>
      </c>
      <c r="Z283" s="24"/>
      <c r="AA283" s="21"/>
      <c r="AB283" s="27"/>
      <c r="AC283" s="27"/>
      <c r="AD283" s="27"/>
      <c r="AE283" s="27"/>
      <c r="AF283" s="27"/>
      <c r="AG283" s="27"/>
      <c r="AH283" s="27"/>
    </row>
    <row r="284" spans="1:40" x14ac:dyDescent="0.4">
      <c r="A284" s="28">
        <v>46289</v>
      </c>
      <c r="B284" s="28"/>
      <c r="C284" s="27"/>
      <c r="D284" s="27"/>
      <c r="E284" s="27"/>
      <c r="F284" s="27"/>
      <c r="G284" s="27"/>
      <c r="H284" s="27"/>
      <c r="I284" s="29" t="str">
        <f t="shared" si="4"/>
        <v/>
      </c>
      <c r="J284" s="29"/>
      <c r="K284" s="29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4" t="str">
        <f>IF(ISNUMBER(MATCH(A284, 設定休日!$B$3:$B$50, 0)), 1, "")</f>
        <v/>
      </c>
      <c r="Z284" s="24"/>
      <c r="AA284" s="21"/>
      <c r="AB284" s="27"/>
      <c r="AC284" s="27"/>
      <c r="AD284" s="27"/>
      <c r="AE284" s="27"/>
      <c r="AF284" s="27"/>
      <c r="AG284" s="27"/>
      <c r="AH284" s="27"/>
    </row>
    <row r="285" spans="1:40" x14ac:dyDescent="0.4">
      <c r="A285" s="28">
        <v>46290</v>
      </c>
      <c r="B285" s="28"/>
      <c r="C285" s="27"/>
      <c r="D285" s="27"/>
      <c r="E285" s="27"/>
      <c r="F285" s="27"/>
      <c r="G285" s="27"/>
      <c r="H285" s="27"/>
      <c r="I285" s="29" t="str">
        <f t="shared" si="4"/>
        <v/>
      </c>
      <c r="J285" s="29"/>
      <c r="K285" s="29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4" t="str">
        <f>IF(ISNUMBER(MATCH(A285, 設定休日!$B$3:$B$50, 0)), 1, "")</f>
        <v/>
      </c>
      <c r="Z285" s="24"/>
      <c r="AA285" s="21"/>
      <c r="AB285" s="27"/>
      <c r="AC285" s="27"/>
      <c r="AD285" s="27"/>
      <c r="AE285" s="27"/>
      <c r="AF285" s="27"/>
      <c r="AG285" s="27"/>
      <c r="AH285" s="27"/>
    </row>
    <row r="286" spans="1:40" x14ac:dyDescent="0.4">
      <c r="A286" s="28">
        <v>46291</v>
      </c>
      <c r="B286" s="28"/>
      <c r="C286" s="27"/>
      <c r="D286" s="27"/>
      <c r="E286" s="27"/>
      <c r="F286" s="27"/>
      <c r="G286" s="27"/>
      <c r="H286" s="27"/>
      <c r="I286" s="29" t="str">
        <f t="shared" si="4"/>
        <v/>
      </c>
      <c r="J286" s="29"/>
      <c r="K286" s="29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4" t="str">
        <f>IF(ISNUMBER(MATCH(A286, 設定休日!$B$3:$B$50, 0)), 1, "")</f>
        <v/>
      </c>
      <c r="Z286" s="24"/>
      <c r="AA286" s="21"/>
      <c r="AB286" s="27"/>
      <c r="AC286" s="27"/>
      <c r="AD286" s="27"/>
      <c r="AE286" s="27"/>
      <c r="AF286" s="27"/>
      <c r="AG286" s="27"/>
      <c r="AH286" s="27"/>
    </row>
    <row r="287" spans="1:40" x14ac:dyDescent="0.4">
      <c r="A287" s="28">
        <v>46292</v>
      </c>
      <c r="B287" s="28"/>
      <c r="C287" s="27"/>
      <c r="D287" s="27"/>
      <c r="E287" s="27"/>
      <c r="F287" s="27"/>
      <c r="G287" s="27"/>
      <c r="H287" s="27"/>
      <c r="I287" s="29" t="str">
        <f t="shared" si="4"/>
        <v/>
      </c>
      <c r="J287" s="29"/>
      <c r="K287" s="29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4" t="str">
        <f>IF(ISNUMBER(MATCH(A287, 設定休日!$B$3:$B$50, 0)), 1, "")</f>
        <v/>
      </c>
      <c r="Z287" s="24"/>
      <c r="AA287" s="21"/>
      <c r="AB287" s="27"/>
      <c r="AC287" s="27"/>
      <c r="AD287" s="27"/>
      <c r="AE287" s="27"/>
      <c r="AF287" s="27"/>
      <c r="AG287" s="27"/>
      <c r="AH287" s="27"/>
    </row>
    <row r="288" spans="1:40" x14ac:dyDescent="0.4">
      <c r="A288" s="28">
        <v>46293</v>
      </c>
      <c r="B288" s="28"/>
      <c r="C288" s="27"/>
      <c r="D288" s="27"/>
      <c r="E288" s="27"/>
      <c r="F288" s="27"/>
      <c r="G288" s="27"/>
      <c r="H288" s="27"/>
      <c r="I288" s="29" t="str">
        <f t="shared" si="4"/>
        <v/>
      </c>
      <c r="J288" s="29"/>
      <c r="K288" s="29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4" t="str">
        <f>IF(ISNUMBER(MATCH(A288, 設定休日!$B$3:$B$50, 0)), 1, "")</f>
        <v/>
      </c>
      <c r="Z288" s="24"/>
      <c r="AA288" s="21"/>
      <c r="AB288" s="27"/>
      <c r="AC288" s="27"/>
      <c r="AD288" s="27"/>
      <c r="AE288" s="27"/>
      <c r="AF288" s="27"/>
      <c r="AG288" s="27"/>
      <c r="AH288" s="27"/>
    </row>
    <row r="289" spans="1:40" x14ac:dyDescent="0.4">
      <c r="A289" s="28">
        <v>46294</v>
      </c>
      <c r="B289" s="28"/>
      <c r="C289" s="27"/>
      <c r="D289" s="27"/>
      <c r="E289" s="27"/>
      <c r="F289" s="27"/>
      <c r="G289" s="27"/>
      <c r="H289" s="27"/>
      <c r="I289" s="29" t="str">
        <f t="shared" si="4"/>
        <v/>
      </c>
      <c r="J289" s="29"/>
      <c r="K289" s="29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4" t="str">
        <f>IF(ISNUMBER(MATCH(A289, 設定休日!$B$3:$B$50, 0)), 1, "")</f>
        <v/>
      </c>
      <c r="Z289" s="24"/>
      <c r="AA289" s="21"/>
      <c r="AB289" s="27"/>
      <c r="AC289" s="27"/>
      <c r="AD289" s="27"/>
      <c r="AE289" s="27"/>
      <c r="AF289" s="27"/>
      <c r="AG289" s="27"/>
      <c r="AH289" s="27"/>
    </row>
    <row r="290" spans="1:40" x14ac:dyDescent="0.4">
      <c r="A290" s="28">
        <v>46295</v>
      </c>
      <c r="B290" s="28"/>
      <c r="C290" s="27"/>
      <c r="D290" s="27"/>
      <c r="E290" s="27"/>
      <c r="F290" s="27"/>
      <c r="G290" s="27"/>
      <c r="H290" s="27"/>
      <c r="I290" s="29" t="str">
        <f t="shared" si="4"/>
        <v/>
      </c>
      <c r="J290" s="29"/>
      <c r="K290" s="29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4" t="str">
        <f>IF(ISNUMBER(MATCH(A290, 設定休日!$B$3:$B$50, 0)), 1, "")</f>
        <v/>
      </c>
      <c r="Z290" s="24"/>
      <c r="AA290" s="21"/>
      <c r="AB290" s="27"/>
      <c r="AC290" s="27"/>
      <c r="AD290" s="27"/>
      <c r="AE290" s="27"/>
      <c r="AF290" s="27"/>
      <c r="AG290" s="27"/>
      <c r="AH290" s="27"/>
    </row>
    <row r="291" spans="1:40" x14ac:dyDescent="0.4">
      <c r="A291" s="28">
        <v>46296</v>
      </c>
      <c r="B291" s="28"/>
      <c r="C291" s="27"/>
      <c r="D291" s="27"/>
      <c r="E291" s="27"/>
      <c r="F291" s="27"/>
      <c r="G291" s="27"/>
      <c r="H291" s="27"/>
      <c r="I291" s="29" t="str">
        <f t="shared" si="4"/>
        <v/>
      </c>
      <c r="J291" s="29"/>
      <c r="K291" s="29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4" t="str">
        <f>IF(ISNUMBER(MATCH(A291, 設定休日!$B$3:$B$50, 0)), 1, "")</f>
        <v/>
      </c>
      <c r="Z291" s="24"/>
      <c r="AA291" s="21"/>
      <c r="AB291" s="27"/>
      <c r="AC291" s="27"/>
      <c r="AD291" s="27"/>
      <c r="AE291" s="27"/>
      <c r="AF291" s="27"/>
      <c r="AG291" s="27"/>
      <c r="AH291" s="27"/>
    </row>
    <row r="292" spans="1:40" x14ac:dyDescent="0.4">
      <c r="A292" s="28">
        <v>46297</v>
      </c>
      <c r="B292" s="28"/>
      <c r="C292" s="27"/>
      <c r="D292" s="27"/>
      <c r="E292" s="27"/>
      <c r="F292" s="27"/>
      <c r="G292" s="27"/>
      <c r="H292" s="27"/>
      <c r="I292" s="29" t="str">
        <f t="shared" si="4"/>
        <v/>
      </c>
      <c r="J292" s="29"/>
      <c r="K292" s="29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4" t="str">
        <f>IF(ISNUMBER(MATCH(A292, 設定休日!$B$3:$B$50, 0)), 1, "")</f>
        <v/>
      </c>
      <c r="Z292" s="24"/>
      <c r="AA292" s="21"/>
      <c r="AB292" s="27"/>
      <c r="AC292" s="27"/>
      <c r="AD292" s="27"/>
      <c r="AE292" s="27"/>
      <c r="AF292" s="27"/>
      <c r="AG292" s="27"/>
      <c r="AH292" s="27"/>
    </row>
    <row r="293" spans="1:40" x14ac:dyDescent="0.4">
      <c r="A293" s="28">
        <v>46298</v>
      </c>
      <c r="B293" s="28"/>
      <c r="C293" s="27"/>
      <c r="D293" s="27"/>
      <c r="E293" s="27"/>
      <c r="F293" s="27"/>
      <c r="G293" s="27"/>
      <c r="H293" s="27"/>
      <c r="I293" s="29" t="str">
        <f t="shared" si="4"/>
        <v/>
      </c>
      <c r="J293" s="29"/>
      <c r="K293" s="29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4" t="str">
        <f>IF(ISNUMBER(MATCH(A293, 設定休日!$B$3:$B$50, 0)), 1, "")</f>
        <v/>
      </c>
      <c r="Z293" s="24"/>
      <c r="AA293" s="21"/>
      <c r="AB293" s="27"/>
      <c r="AC293" s="27"/>
      <c r="AD293" s="27"/>
      <c r="AE293" s="27"/>
      <c r="AF293" s="27"/>
      <c r="AG293" s="27"/>
      <c r="AH293" s="27"/>
    </row>
    <row r="294" spans="1:40" x14ac:dyDescent="0.4">
      <c r="A294" s="28">
        <v>46299</v>
      </c>
      <c r="B294" s="28"/>
      <c r="C294" s="27"/>
      <c r="D294" s="27"/>
      <c r="E294" s="27"/>
      <c r="F294" s="27"/>
      <c r="G294" s="27"/>
      <c r="H294" s="27"/>
      <c r="I294" s="29" t="str">
        <f t="shared" si="4"/>
        <v/>
      </c>
      <c r="J294" s="29"/>
      <c r="K294" s="29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4" t="str">
        <f>IF(ISNUMBER(MATCH(A294, 設定休日!$B$3:$B$50, 0)), 1, "")</f>
        <v/>
      </c>
      <c r="Z294" s="24"/>
      <c r="AA294" s="21"/>
      <c r="AB294" s="27"/>
      <c r="AC294" s="27"/>
      <c r="AD294" s="27"/>
      <c r="AE294" s="27"/>
      <c r="AF294" s="27"/>
      <c r="AG294" s="27"/>
      <c r="AH294" s="27"/>
    </row>
    <row r="295" spans="1:40" x14ac:dyDescent="0.4">
      <c r="A295" s="28">
        <v>46300</v>
      </c>
      <c r="B295" s="28"/>
      <c r="C295" s="27"/>
      <c r="D295" s="27"/>
      <c r="E295" s="27"/>
      <c r="F295" s="27"/>
      <c r="G295" s="27"/>
      <c r="H295" s="27"/>
      <c r="I295" s="29" t="str">
        <f t="shared" si="4"/>
        <v/>
      </c>
      <c r="J295" s="29"/>
      <c r="K295" s="29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4" t="str">
        <f>IF(ISNUMBER(MATCH(A295, 設定休日!$B$3:$B$50, 0)), 1, "")</f>
        <v/>
      </c>
      <c r="Z295" s="24"/>
      <c r="AA295" s="21"/>
      <c r="AB295" s="27"/>
      <c r="AC295" s="27"/>
      <c r="AD295" s="27"/>
      <c r="AE295" s="27"/>
      <c r="AF295" s="27"/>
      <c r="AG295" s="27"/>
      <c r="AH295" s="27"/>
    </row>
    <row r="296" spans="1:40" x14ac:dyDescent="0.4">
      <c r="A296" s="28">
        <v>46301</v>
      </c>
      <c r="B296" s="28"/>
      <c r="C296" s="27"/>
      <c r="D296" s="27"/>
      <c r="E296" s="27"/>
      <c r="F296" s="27"/>
      <c r="G296" s="27"/>
      <c r="H296" s="27"/>
      <c r="I296" s="29" t="str">
        <f t="shared" si="4"/>
        <v/>
      </c>
      <c r="J296" s="29"/>
      <c r="K296" s="29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4" t="str">
        <f>IF(ISNUMBER(MATCH(A296, 設定休日!$B$3:$B$50, 0)), 1, "")</f>
        <v/>
      </c>
      <c r="Z296" s="24"/>
      <c r="AA296" s="21"/>
      <c r="AB296" s="27"/>
      <c r="AC296" s="27"/>
      <c r="AD296" s="27"/>
      <c r="AE296" s="27"/>
      <c r="AF296" s="27"/>
      <c r="AG296" s="27"/>
      <c r="AH296" s="27"/>
    </row>
    <row r="297" spans="1:40" x14ac:dyDescent="0.4">
      <c r="A297" s="28">
        <v>46302</v>
      </c>
      <c r="B297" s="28"/>
      <c r="C297" s="27"/>
      <c r="D297" s="27"/>
      <c r="E297" s="27"/>
      <c r="F297" s="27"/>
      <c r="G297" s="27"/>
      <c r="H297" s="27"/>
      <c r="I297" s="29" t="str">
        <f t="shared" si="4"/>
        <v/>
      </c>
      <c r="J297" s="29"/>
      <c r="K297" s="29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4" t="str">
        <f>IF(ISNUMBER(MATCH(A297, 設定休日!$B$3:$B$50, 0)), 1, "")</f>
        <v/>
      </c>
      <c r="Z297" s="24"/>
      <c r="AA297" s="21"/>
      <c r="AB297" s="27"/>
      <c r="AC297" s="27"/>
      <c r="AD297" s="27"/>
      <c r="AE297" s="27"/>
      <c r="AF297" s="27"/>
      <c r="AG297" s="27"/>
      <c r="AH297" s="27"/>
    </row>
    <row r="298" spans="1:40" x14ac:dyDescent="0.4">
      <c r="A298" s="28">
        <v>46303</v>
      </c>
      <c r="B298" s="28"/>
      <c r="C298" s="27"/>
      <c r="D298" s="27"/>
      <c r="E298" s="27"/>
      <c r="F298" s="27"/>
      <c r="G298" s="27"/>
      <c r="H298" s="27"/>
      <c r="I298" s="29" t="str">
        <f t="shared" si="4"/>
        <v/>
      </c>
      <c r="J298" s="29"/>
      <c r="K298" s="29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4">
        <f>IF(ISNUMBER(MATCH(A298, 設定休日!$B$3:$B$50, 0)), 1, "")</f>
        <v>1</v>
      </c>
      <c r="Z298" s="24"/>
      <c r="AA298" s="21"/>
      <c r="AB298" s="27"/>
      <c r="AC298" s="27"/>
      <c r="AD298" s="27"/>
      <c r="AE298" s="27"/>
      <c r="AF298" s="27"/>
      <c r="AG298" s="27"/>
      <c r="AH298" s="27"/>
    </row>
    <row r="299" spans="1:40" x14ac:dyDescent="0.4">
      <c r="A299" s="28">
        <v>46304</v>
      </c>
      <c r="B299" s="28"/>
      <c r="C299" s="27"/>
      <c r="D299" s="27"/>
      <c r="E299" s="27"/>
      <c r="F299" s="27"/>
      <c r="G299" s="27"/>
      <c r="H299" s="27"/>
      <c r="I299" s="29" t="str">
        <f t="shared" si="4"/>
        <v/>
      </c>
      <c r="J299" s="29"/>
      <c r="K299" s="29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4" t="str">
        <f>IF(ISNUMBER(MATCH(A299, 設定休日!$B$3:$B$50, 0)), 1, "")</f>
        <v/>
      </c>
      <c r="Z299" s="24"/>
      <c r="AA299" s="21"/>
      <c r="AB299" s="27"/>
      <c r="AC299" s="27"/>
      <c r="AD299" s="27"/>
      <c r="AE299" s="27"/>
      <c r="AF299" s="27"/>
      <c r="AG299" s="27"/>
      <c r="AH299" s="27"/>
    </row>
    <row r="300" spans="1:40" x14ac:dyDescent="0.4">
      <c r="A300" s="28">
        <v>46305</v>
      </c>
      <c r="B300" s="28"/>
      <c r="C300" s="27"/>
      <c r="D300" s="27"/>
      <c r="E300" s="27"/>
      <c r="F300" s="27"/>
      <c r="G300" s="27"/>
      <c r="H300" s="27"/>
      <c r="I300" s="29" t="str">
        <f t="shared" si="4"/>
        <v/>
      </c>
      <c r="J300" s="29"/>
      <c r="K300" s="29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4" t="str">
        <f>IF(ISNUMBER(MATCH(A300, 設定休日!$B$3:$B$50, 0)), 1, "")</f>
        <v/>
      </c>
      <c r="Z300" s="24"/>
      <c r="AA300" s="21"/>
      <c r="AB300" s="27"/>
      <c r="AC300" s="27"/>
      <c r="AD300" s="27"/>
      <c r="AE300" s="27"/>
      <c r="AF300" s="27"/>
      <c r="AG300" s="27"/>
      <c r="AH300" s="27"/>
    </row>
    <row r="301" spans="1:40" x14ac:dyDescent="0.4">
      <c r="A301" s="28">
        <v>46306</v>
      </c>
      <c r="B301" s="28"/>
      <c r="C301" s="27"/>
      <c r="D301" s="27"/>
      <c r="E301" s="27"/>
      <c r="F301" s="27"/>
      <c r="G301" s="27"/>
      <c r="H301" s="27"/>
      <c r="I301" s="29" t="str">
        <f t="shared" si="4"/>
        <v/>
      </c>
      <c r="J301" s="29"/>
      <c r="K301" s="29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4" t="str">
        <f>IF(ISNUMBER(MATCH(A301, 設定休日!$B$3:$B$50, 0)), 1, "")</f>
        <v/>
      </c>
      <c r="Z301" s="24"/>
      <c r="AA301" s="21"/>
      <c r="AB301" s="27"/>
      <c r="AC301" s="27"/>
      <c r="AD301" s="27"/>
      <c r="AE301" s="27"/>
      <c r="AF301" s="27"/>
      <c r="AG301" s="27"/>
      <c r="AH301" s="27"/>
    </row>
    <row r="302" spans="1:40" x14ac:dyDescent="0.4">
      <c r="A302" s="28">
        <v>46307</v>
      </c>
      <c r="B302" s="28"/>
      <c r="C302" s="27"/>
      <c r="D302" s="27"/>
      <c r="E302" s="27"/>
      <c r="F302" s="27"/>
      <c r="G302" s="27"/>
      <c r="H302" s="27"/>
      <c r="I302" s="29" t="str">
        <f t="shared" si="4"/>
        <v/>
      </c>
      <c r="J302" s="29"/>
      <c r="K302" s="29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4" t="str">
        <f>IF(ISNUMBER(MATCH(A302, 設定休日!$B$3:$B$50, 0)), 1, "")</f>
        <v/>
      </c>
      <c r="Z302" s="24"/>
      <c r="AA302" s="21"/>
      <c r="AB302" s="27"/>
      <c r="AC302" s="27"/>
      <c r="AD302" s="27"/>
      <c r="AE302" s="27"/>
      <c r="AF302" s="27"/>
      <c r="AG302" s="27"/>
      <c r="AH302" s="27"/>
    </row>
    <row r="303" spans="1:40" x14ac:dyDescent="0.4">
      <c r="A303" s="28">
        <v>46308</v>
      </c>
      <c r="B303" s="28"/>
      <c r="C303" s="27"/>
      <c r="D303" s="27"/>
      <c r="E303" s="27"/>
      <c r="F303" s="27"/>
      <c r="G303" s="27"/>
      <c r="H303" s="27"/>
      <c r="I303" s="29" t="str">
        <f t="shared" si="4"/>
        <v/>
      </c>
      <c r="J303" s="29"/>
      <c r="K303" s="29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4" t="str">
        <f>IF(ISNUMBER(MATCH(A303, 設定休日!$B$3:$B$50, 0)), 1, "")</f>
        <v/>
      </c>
      <c r="Z303" s="24"/>
      <c r="AA303" s="21"/>
      <c r="AB303" s="27"/>
      <c r="AC303" s="27"/>
      <c r="AD303" s="27"/>
      <c r="AE303" s="27"/>
      <c r="AF303" s="27"/>
      <c r="AG303" s="27"/>
      <c r="AH303" s="27"/>
      <c r="AI303" s="13">
        <f>MONTH(A303)</f>
        <v>10</v>
      </c>
      <c r="AJ303" s="11" t="s">
        <v>47</v>
      </c>
      <c r="AK303" s="11" t="s">
        <v>48</v>
      </c>
      <c r="AM303" s="9" t="s">
        <v>50</v>
      </c>
      <c r="AN303" s="9" t="s">
        <v>53</v>
      </c>
    </row>
    <row r="304" spans="1:40" x14ac:dyDescent="0.4">
      <c r="A304" s="28">
        <v>46309</v>
      </c>
      <c r="B304" s="28"/>
      <c r="C304" s="27"/>
      <c r="D304" s="27"/>
      <c r="E304" s="27"/>
      <c r="F304" s="27"/>
      <c r="G304" s="27"/>
      <c r="H304" s="27"/>
      <c r="I304" s="29" t="str">
        <f t="shared" si="4"/>
        <v/>
      </c>
      <c r="J304" s="29"/>
      <c r="K304" s="29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4" t="str">
        <f>IF(ISNUMBER(MATCH(A304, 設定休日!$B$3:$B$50, 0)), 1, "")</f>
        <v/>
      </c>
      <c r="Z304" s="24"/>
      <c r="AA304" s="21"/>
      <c r="AB304" s="27"/>
      <c r="AC304" s="27"/>
      <c r="AD304" s="27"/>
      <c r="AE304" s="27"/>
      <c r="AF304" s="27"/>
      <c r="AG304" s="27"/>
      <c r="AH304" s="27"/>
      <c r="AI304" s="14" t="s">
        <v>41</v>
      </c>
      <c r="AJ304" s="9">
        <f>AM304-AM305+1</f>
        <v>30</v>
      </c>
      <c r="AK304" s="9">
        <f>AJ304</f>
        <v>30</v>
      </c>
      <c r="AM304" s="9">
        <f>MATCH(DATE($A$4,AI303,20),A:A,0)</f>
        <v>310</v>
      </c>
      <c r="AN304" s="9" t="s">
        <v>51</v>
      </c>
    </row>
    <row r="305" spans="1:40" x14ac:dyDescent="0.4">
      <c r="A305" s="28">
        <v>46310</v>
      </c>
      <c r="B305" s="28"/>
      <c r="C305" s="27"/>
      <c r="D305" s="27"/>
      <c r="E305" s="27"/>
      <c r="F305" s="27"/>
      <c r="G305" s="27"/>
      <c r="H305" s="27"/>
      <c r="I305" s="29" t="str">
        <f t="shared" si="4"/>
        <v/>
      </c>
      <c r="J305" s="29"/>
      <c r="K305" s="29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4" t="str">
        <f>IF(ISNUMBER(MATCH(A305, 設定休日!$B$3:$B$50, 0)), 1, "")</f>
        <v/>
      </c>
      <c r="Z305" s="24"/>
      <c r="AA305" s="21"/>
      <c r="AB305" s="27"/>
      <c r="AC305" s="27"/>
      <c r="AD305" s="27"/>
      <c r="AE305" s="27"/>
      <c r="AF305" s="27"/>
      <c r="AG305" s="27"/>
      <c r="AH305" s="27"/>
      <c r="AI305" s="9" t="s">
        <v>42</v>
      </c>
      <c r="AJ305" s="9" cm="1">
        <f t="array" aca="1" ref="AJ305" ca="1">AJ304-SUMPRODUCT(COUNTIF(INDIRECT("A"&amp;AM304&amp;":A"&amp;AM305),祝日!B245:B292))+SUMPRODUCT(COUNTIF(INDIRECT("A"&amp;AM304&amp;":A"&amp;AM305),設定休日!B245:B292))</f>
        <v>30</v>
      </c>
      <c r="AK305" s="9">
        <f ca="1">AJ305</f>
        <v>30</v>
      </c>
      <c r="AM305" s="9">
        <f>MATCH(DATE(IF(MONTH(A286)=12,$A$4-1,$A$4),MONTH(A286),21),A:A,0)</f>
        <v>281</v>
      </c>
      <c r="AN305" s="9" t="s">
        <v>52</v>
      </c>
    </row>
    <row r="306" spans="1:40" x14ac:dyDescent="0.4">
      <c r="A306" s="28">
        <v>46311</v>
      </c>
      <c r="B306" s="28"/>
      <c r="C306" s="27"/>
      <c r="D306" s="27"/>
      <c r="E306" s="27"/>
      <c r="F306" s="27"/>
      <c r="G306" s="27"/>
      <c r="H306" s="27"/>
      <c r="I306" s="29" t="str">
        <f t="shared" si="4"/>
        <v/>
      </c>
      <c r="J306" s="29"/>
      <c r="K306" s="29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4" t="str">
        <f>IF(ISNUMBER(MATCH(A306, 設定休日!$B$3:$B$50, 0)), 1, "")</f>
        <v/>
      </c>
      <c r="Z306" s="24"/>
      <c r="AA306" s="21"/>
      <c r="AB306" s="27"/>
      <c r="AC306" s="27"/>
      <c r="AD306" s="27"/>
      <c r="AE306" s="27"/>
      <c r="AF306" s="27"/>
      <c r="AG306" s="27"/>
      <c r="AH306" s="27"/>
      <c r="AI306" s="9" t="s">
        <v>43</v>
      </c>
      <c r="AJ306" s="12">
        <f ca="1">AJ305*TIME(7,0,0)</f>
        <v>8.75</v>
      </c>
      <c r="AM306" s="9" t="s">
        <v>54</v>
      </c>
      <c r="AN306" s="9" t="s">
        <v>55</v>
      </c>
    </row>
    <row r="307" spans="1:40" x14ac:dyDescent="0.4">
      <c r="A307" s="28">
        <v>46312</v>
      </c>
      <c r="B307" s="28"/>
      <c r="C307" s="27"/>
      <c r="D307" s="27"/>
      <c r="E307" s="27"/>
      <c r="F307" s="27"/>
      <c r="G307" s="27"/>
      <c r="H307" s="27"/>
      <c r="I307" s="29" t="str">
        <f t="shared" si="4"/>
        <v/>
      </c>
      <c r="J307" s="29"/>
      <c r="K307" s="29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4" t="str">
        <f>IF(ISNUMBER(MATCH(A307, 設定休日!$B$3:$B$50, 0)), 1, "")</f>
        <v/>
      </c>
      <c r="Z307" s="24"/>
      <c r="AA307" s="21"/>
      <c r="AB307" s="27"/>
      <c r="AC307" s="27"/>
      <c r="AD307" s="27"/>
      <c r="AE307" s="27"/>
      <c r="AF307" s="27"/>
      <c r="AG307" s="27"/>
      <c r="AH307" s="27"/>
      <c r="AI307" s="9" t="s">
        <v>44</v>
      </c>
      <c r="AJ307" s="12">
        <f ca="1">SUM(INDIRECT("I"&amp;AM304&amp;":I"&amp;AM305))</f>
        <v>0</v>
      </c>
      <c r="AN307" s="9" t="s">
        <v>59</v>
      </c>
    </row>
    <row r="308" spans="1:40" x14ac:dyDescent="0.4">
      <c r="A308" s="28">
        <v>46313</v>
      </c>
      <c r="B308" s="28"/>
      <c r="C308" s="27"/>
      <c r="D308" s="27"/>
      <c r="E308" s="27"/>
      <c r="F308" s="27"/>
      <c r="G308" s="27"/>
      <c r="H308" s="27"/>
      <c r="I308" s="29" t="str">
        <f t="shared" si="4"/>
        <v/>
      </c>
      <c r="J308" s="29"/>
      <c r="K308" s="29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4" t="str">
        <f>IF(ISNUMBER(MATCH(A308, 設定休日!$B$3:$B$50, 0)), 1, "")</f>
        <v/>
      </c>
      <c r="Z308" s="24"/>
      <c r="AA308" s="21"/>
      <c r="AB308" s="27"/>
      <c r="AC308" s="27"/>
      <c r="AD308" s="27"/>
      <c r="AE308" s="27"/>
      <c r="AF308" s="27"/>
      <c r="AG308" s="27"/>
      <c r="AH308" s="27"/>
      <c r="AI308" s="9" t="s">
        <v>49</v>
      </c>
      <c r="AJ308" s="12" t="str">
        <f ca="1">IF(AJ307-AJ306&lt;=0,"",AJ307-AJ306)</f>
        <v/>
      </c>
    </row>
    <row r="309" spans="1:40" x14ac:dyDescent="0.4">
      <c r="A309" s="28">
        <v>46314</v>
      </c>
      <c r="B309" s="28"/>
      <c r="C309" s="27"/>
      <c r="D309" s="27"/>
      <c r="E309" s="27"/>
      <c r="F309" s="27"/>
      <c r="G309" s="27"/>
      <c r="H309" s="27"/>
      <c r="I309" s="29" t="str">
        <f t="shared" si="4"/>
        <v/>
      </c>
      <c r="J309" s="29"/>
      <c r="K309" s="29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4">
        <f>IF(ISNUMBER(MATCH(A309, 設定休日!$B$3:$B$50, 0)), 1, "")</f>
        <v>1</v>
      </c>
      <c r="Z309" s="24"/>
      <c r="AA309" s="21"/>
      <c r="AB309" s="27"/>
      <c r="AC309" s="27"/>
      <c r="AD309" s="27"/>
      <c r="AE309" s="27"/>
      <c r="AF309" s="27"/>
      <c r="AG309" s="27"/>
      <c r="AH309" s="27"/>
      <c r="AI309" s="9" t="s">
        <v>45</v>
      </c>
      <c r="AJ309" s="9">
        <f ca="1">COUNTA(INDIRECT("Z"&amp;AM304&amp;":Z"&amp;AM305))</f>
        <v>0</v>
      </c>
      <c r="AK309" s="9" cm="1">
        <f t="array" ref="AK309">SUMPRODUCT( --(Z280:Z655&lt;&gt;""))</f>
        <v>1</v>
      </c>
    </row>
    <row r="310" spans="1:40" ht="19.5" thickBot="1" x14ac:dyDescent="0.45">
      <c r="A310" s="34">
        <v>46315</v>
      </c>
      <c r="B310" s="34"/>
      <c r="C310" s="30"/>
      <c r="D310" s="30"/>
      <c r="E310" s="30"/>
      <c r="F310" s="30"/>
      <c r="G310" s="30"/>
      <c r="H310" s="30"/>
      <c r="I310" s="35" t="str">
        <f t="shared" si="4"/>
        <v/>
      </c>
      <c r="J310" s="35"/>
      <c r="K310" s="35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25" t="str">
        <f>IF(ISNUMBER(MATCH(A310, 設定休日!$B$3:$B$50, 0)), 1, "")</f>
        <v/>
      </c>
      <c r="Z310" s="25"/>
      <c r="AA310" s="23"/>
      <c r="AB310" s="30"/>
      <c r="AC310" s="30"/>
      <c r="AD310" s="30"/>
      <c r="AE310" s="30"/>
      <c r="AF310" s="30"/>
      <c r="AG310" s="30"/>
      <c r="AH310" s="30"/>
      <c r="AI310" s="10" t="s">
        <v>46</v>
      </c>
      <c r="AJ310" s="10">
        <f ca="1">SUM(INDIRECT("AA"&amp;AM304&amp;":AA"&amp;AM305))</f>
        <v>0</v>
      </c>
      <c r="AK310" s="10">
        <f>SUM(AA280:AA655)</f>
        <v>0</v>
      </c>
      <c r="AL310" s="10"/>
      <c r="AM310" s="10"/>
    </row>
    <row r="311" spans="1:40" x14ac:dyDescent="0.4">
      <c r="A311" s="31">
        <v>46316</v>
      </c>
      <c r="B311" s="31"/>
      <c r="C311" s="32"/>
      <c r="D311" s="32"/>
      <c r="E311" s="32"/>
      <c r="F311" s="32"/>
      <c r="G311" s="32"/>
      <c r="H311" s="32"/>
      <c r="I311" s="33" t="str">
        <f t="shared" si="4"/>
        <v/>
      </c>
      <c r="J311" s="33"/>
      <c r="K311" s="33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26" t="str">
        <f>IF(ISNUMBER(MATCH(A311, 設定休日!$B$3:$B$50, 0)), 1, "")</f>
        <v/>
      </c>
      <c r="Z311" s="26"/>
      <c r="AA311" s="22"/>
      <c r="AB311" s="32"/>
      <c r="AC311" s="32"/>
      <c r="AD311" s="32"/>
      <c r="AE311" s="32"/>
      <c r="AF311" s="32"/>
      <c r="AG311" s="32"/>
      <c r="AH311" s="32"/>
    </row>
    <row r="312" spans="1:40" x14ac:dyDescent="0.4">
      <c r="A312" s="28">
        <v>46317</v>
      </c>
      <c r="B312" s="28"/>
      <c r="C312" s="27"/>
      <c r="D312" s="27"/>
      <c r="E312" s="27"/>
      <c r="F312" s="27"/>
      <c r="G312" s="27"/>
      <c r="H312" s="27"/>
      <c r="I312" s="29" t="str">
        <f t="shared" si="4"/>
        <v/>
      </c>
      <c r="J312" s="29"/>
      <c r="K312" s="29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4" t="str">
        <f>IF(ISNUMBER(MATCH(A312, 設定休日!$B$3:$B$50, 0)), 1, "")</f>
        <v/>
      </c>
      <c r="Z312" s="24"/>
      <c r="AA312" s="21"/>
      <c r="AB312" s="27"/>
      <c r="AC312" s="27"/>
      <c r="AD312" s="27"/>
      <c r="AE312" s="27"/>
      <c r="AF312" s="27"/>
      <c r="AG312" s="27"/>
      <c r="AH312" s="27"/>
    </row>
    <row r="313" spans="1:40" x14ac:dyDescent="0.4">
      <c r="A313" s="28">
        <v>46318</v>
      </c>
      <c r="B313" s="28"/>
      <c r="C313" s="27"/>
      <c r="D313" s="27"/>
      <c r="E313" s="27"/>
      <c r="F313" s="27"/>
      <c r="G313" s="27"/>
      <c r="H313" s="27"/>
      <c r="I313" s="29" t="str">
        <f t="shared" si="4"/>
        <v/>
      </c>
      <c r="J313" s="29"/>
      <c r="K313" s="29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4" t="str">
        <f>IF(ISNUMBER(MATCH(A313, 設定休日!$B$3:$B$50, 0)), 1, "")</f>
        <v/>
      </c>
      <c r="Z313" s="24"/>
      <c r="AA313" s="21"/>
      <c r="AB313" s="27"/>
      <c r="AC313" s="27"/>
      <c r="AD313" s="27"/>
      <c r="AE313" s="27"/>
      <c r="AF313" s="27"/>
      <c r="AG313" s="27"/>
      <c r="AH313" s="27"/>
    </row>
    <row r="314" spans="1:40" x14ac:dyDescent="0.4">
      <c r="A314" s="28">
        <v>46319</v>
      </c>
      <c r="B314" s="28"/>
      <c r="C314" s="27"/>
      <c r="D314" s="27"/>
      <c r="E314" s="27"/>
      <c r="F314" s="27"/>
      <c r="G314" s="27"/>
      <c r="H314" s="27"/>
      <c r="I314" s="29" t="str">
        <f t="shared" si="4"/>
        <v/>
      </c>
      <c r="J314" s="29"/>
      <c r="K314" s="29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4" t="str">
        <f>IF(ISNUMBER(MATCH(A314, 設定休日!$B$3:$B$50, 0)), 1, "")</f>
        <v/>
      </c>
      <c r="Z314" s="24"/>
      <c r="AA314" s="21"/>
      <c r="AB314" s="27"/>
      <c r="AC314" s="27"/>
      <c r="AD314" s="27"/>
      <c r="AE314" s="27"/>
      <c r="AF314" s="27"/>
      <c r="AG314" s="27"/>
      <c r="AH314" s="27"/>
    </row>
    <row r="315" spans="1:40" x14ac:dyDescent="0.4">
      <c r="A315" s="28">
        <v>46320</v>
      </c>
      <c r="B315" s="28"/>
      <c r="C315" s="27"/>
      <c r="D315" s="27"/>
      <c r="E315" s="27"/>
      <c r="F315" s="27"/>
      <c r="G315" s="27"/>
      <c r="H315" s="27"/>
      <c r="I315" s="29" t="str">
        <f t="shared" si="4"/>
        <v/>
      </c>
      <c r="J315" s="29"/>
      <c r="K315" s="29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4" t="str">
        <f>IF(ISNUMBER(MATCH(A315, 設定休日!$B$3:$B$50, 0)), 1, "")</f>
        <v/>
      </c>
      <c r="Z315" s="24"/>
      <c r="AA315" s="21"/>
      <c r="AB315" s="27"/>
      <c r="AC315" s="27"/>
      <c r="AD315" s="27"/>
      <c r="AE315" s="27"/>
      <c r="AF315" s="27"/>
      <c r="AG315" s="27"/>
      <c r="AH315" s="27"/>
    </row>
    <row r="316" spans="1:40" x14ac:dyDescent="0.4">
      <c r="A316" s="28">
        <v>46321</v>
      </c>
      <c r="B316" s="28"/>
      <c r="C316" s="27"/>
      <c r="D316" s="27"/>
      <c r="E316" s="27"/>
      <c r="F316" s="27"/>
      <c r="G316" s="27"/>
      <c r="H316" s="27"/>
      <c r="I316" s="29" t="str">
        <f t="shared" si="4"/>
        <v/>
      </c>
      <c r="J316" s="29"/>
      <c r="K316" s="29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4" t="str">
        <f>IF(ISNUMBER(MATCH(A316, 設定休日!$B$3:$B$50, 0)), 1, "")</f>
        <v/>
      </c>
      <c r="Z316" s="24"/>
      <c r="AA316" s="21"/>
      <c r="AB316" s="27"/>
      <c r="AC316" s="27"/>
      <c r="AD316" s="27"/>
      <c r="AE316" s="27"/>
      <c r="AF316" s="27"/>
      <c r="AG316" s="27"/>
      <c r="AH316" s="27"/>
    </row>
    <row r="317" spans="1:40" x14ac:dyDescent="0.4">
      <c r="A317" s="28">
        <v>46322</v>
      </c>
      <c r="B317" s="28"/>
      <c r="C317" s="27"/>
      <c r="D317" s="27"/>
      <c r="E317" s="27"/>
      <c r="F317" s="27"/>
      <c r="G317" s="27"/>
      <c r="H317" s="27"/>
      <c r="I317" s="29" t="str">
        <f t="shared" si="4"/>
        <v/>
      </c>
      <c r="J317" s="29"/>
      <c r="K317" s="29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4" t="str">
        <f>IF(ISNUMBER(MATCH(A317, 設定休日!$B$3:$B$50, 0)), 1, "")</f>
        <v/>
      </c>
      <c r="Z317" s="24"/>
      <c r="AA317" s="21"/>
      <c r="AB317" s="27"/>
      <c r="AC317" s="27"/>
      <c r="AD317" s="27"/>
      <c r="AE317" s="27"/>
      <c r="AF317" s="27"/>
      <c r="AG317" s="27"/>
      <c r="AH317" s="27"/>
    </row>
    <row r="318" spans="1:40" x14ac:dyDescent="0.4">
      <c r="A318" s="28">
        <v>46323</v>
      </c>
      <c r="B318" s="28"/>
      <c r="C318" s="27"/>
      <c r="D318" s="27"/>
      <c r="E318" s="27"/>
      <c r="F318" s="27"/>
      <c r="G318" s="27"/>
      <c r="H318" s="27"/>
      <c r="I318" s="29" t="str">
        <f t="shared" si="4"/>
        <v/>
      </c>
      <c r="J318" s="29"/>
      <c r="K318" s="29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4" t="str">
        <f>IF(ISNUMBER(MATCH(A318, 設定休日!$B$3:$B$50, 0)), 1, "")</f>
        <v/>
      </c>
      <c r="Z318" s="24"/>
      <c r="AA318" s="21"/>
      <c r="AB318" s="27"/>
      <c r="AC318" s="27"/>
      <c r="AD318" s="27"/>
      <c r="AE318" s="27"/>
      <c r="AF318" s="27"/>
      <c r="AG318" s="27"/>
      <c r="AH318" s="27"/>
    </row>
    <row r="319" spans="1:40" x14ac:dyDescent="0.4">
      <c r="A319" s="28">
        <v>46324</v>
      </c>
      <c r="B319" s="28"/>
      <c r="C319" s="27"/>
      <c r="D319" s="27"/>
      <c r="E319" s="27"/>
      <c r="F319" s="27"/>
      <c r="G319" s="27"/>
      <c r="H319" s="27"/>
      <c r="I319" s="29" t="str">
        <f t="shared" si="4"/>
        <v/>
      </c>
      <c r="J319" s="29"/>
      <c r="K319" s="29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4" t="str">
        <f>IF(ISNUMBER(MATCH(A319, 設定休日!$B$3:$B$50, 0)), 1, "")</f>
        <v/>
      </c>
      <c r="Z319" s="24"/>
      <c r="AA319" s="21"/>
      <c r="AB319" s="27"/>
      <c r="AC319" s="27"/>
      <c r="AD319" s="27"/>
      <c r="AE319" s="27"/>
      <c r="AF319" s="27"/>
      <c r="AG319" s="27"/>
      <c r="AH319" s="27"/>
    </row>
    <row r="320" spans="1:40" x14ac:dyDescent="0.4">
      <c r="A320" s="28">
        <v>46325</v>
      </c>
      <c r="B320" s="28"/>
      <c r="C320" s="27"/>
      <c r="D320" s="27"/>
      <c r="E320" s="27"/>
      <c r="F320" s="27"/>
      <c r="G320" s="27"/>
      <c r="H320" s="27"/>
      <c r="I320" s="29" t="str">
        <f t="shared" si="4"/>
        <v/>
      </c>
      <c r="J320" s="29"/>
      <c r="K320" s="29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4" t="str">
        <f>IF(ISNUMBER(MATCH(A320, 設定休日!$B$3:$B$50, 0)), 1, "")</f>
        <v/>
      </c>
      <c r="Z320" s="24"/>
      <c r="AA320" s="21"/>
      <c r="AB320" s="27"/>
      <c r="AC320" s="27"/>
      <c r="AD320" s="27"/>
      <c r="AE320" s="27"/>
      <c r="AF320" s="27"/>
      <c r="AG320" s="27"/>
      <c r="AH320" s="27"/>
    </row>
    <row r="321" spans="1:40" x14ac:dyDescent="0.4">
      <c r="A321" s="28">
        <v>46326</v>
      </c>
      <c r="B321" s="28"/>
      <c r="C321" s="27"/>
      <c r="D321" s="27"/>
      <c r="E321" s="27"/>
      <c r="F321" s="27"/>
      <c r="G321" s="27"/>
      <c r="H321" s="27"/>
      <c r="I321" s="29" t="str">
        <f t="shared" si="4"/>
        <v/>
      </c>
      <c r="J321" s="29"/>
      <c r="K321" s="29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4" t="str">
        <f>IF(ISNUMBER(MATCH(A321, 設定休日!$B$3:$B$50, 0)), 1, "")</f>
        <v/>
      </c>
      <c r="Z321" s="24"/>
      <c r="AA321" s="21"/>
      <c r="AB321" s="27"/>
      <c r="AC321" s="27"/>
      <c r="AD321" s="27"/>
      <c r="AE321" s="27"/>
      <c r="AF321" s="27"/>
      <c r="AG321" s="27"/>
      <c r="AH321" s="27"/>
    </row>
    <row r="322" spans="1:40" x14ac:dyDescent="0.4">
      <c r="A322" s="28">
        <v>46327</v>
      </c>
      <c r="B322" s="28"/>
      <c r="C322" s="27"/>
      <c r="D322" s="27"/>
      <c r="E322" s="27"/>
      <c r="F322" s="27"/>
      <c r="G322" s="27"/>
      <c r="H322" s="27"/>
      <c r="I322" s="29" t="str">
        <f t="shared" si="4"/>
        <v/>
      </c>
      <c r="J322" s="29"/>
      <c r="K322" s="29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4" t="str">
        <f>IF(ISNUMBER(MATCH(A322, 設定休日!$B$3:$B$50, 0)), 1, "")</f>
        <v/>
      </c>
      <c r="Z322" s="24"/>
      <c r="AA322" s="21"/>
      <c r="AB322" s="27"/>
      <c r="AC322" s="27"/>
      <c r="AD322" s="27"/>
      <c r="AE322" s="27"/>
      <c r="AF322" s="27"/>
      <c r="AG322" s="27"/>
      <c r="AH322" s="27"/>
    </row>
    <row r="323" spans="1:40" x14ac:dyDescent="0.4">
      <c r="A323" s="28">
        <v>46328</v>
      </c>
      <c r="B323" s="28"/>
      <c r="C323" s="27"/>
      <c r="D323" s="27"/>
      <c r="E323" s="27"/>
      <c r="F323" s="27"/>
      <c r="G323" s="27"/>
      <c r="H323" s="27"/>
      <c r="I323" s="29" t="str">
        <f t="shared" si="4"/>
        <v/>
      </c>
      <c r="J323" s="29"/>
      <c r="K323" s="29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4">
        <f>IF(ISNUMBER(MATCH(A323, 設定休日!$B$3:$B$50, 0)), 1, "")</f>
        <v>1</v>
      </c>
      <c r="Z323" s="24"/>
      <c r="AA323" s="21"/>
      <c r="AB323" s="27"/>
      <c r="AC323" s="27"/>
      <c r="AD323" s="27"/>
      <c r="AE323" s="27"/>
      <c r="AF323" s="27"/>
      <c r="AG323" s="27"/>
      <c r="AH323" s="27"/>
    </row>
    <row r="324" spans="1:40" x14ac:dyDescent="0.4">
      <c r="A324" s="28">
        <v>46329</v>
      </c>
      <c r="B324" s="28"/>
      <c r="C324" s="27"/>
      <c r="D324" s="27"/>
      <c r="E324" s="27"/>
      <c r="F324" s="27"/>
      <c r="G324" s="27"/>
      <c r="H324" s="27"/>
      <c r="I324" s="29" t="str">
        <f t="shared" si="4"/>
        <v/>
      </c>
      <c r="J324" s="29"/>
      <c r="K324" s="29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4" t="str">
        <f>IF(ISNUMBER(MATCH(A324, 設定休日!$B$3:$B$50, 0)), 1, "")</f>
        <v/>
      </c>
      <c r="Z324" s="24"/>
      <c r="AA324" s="21"/>
      <c r="AB324" s="27"/>
      <c r="AC324" s="27"/>
      <c r="AD324" s="27"/>
      <c r="AE324" s="27"/>
      <c r="AF324" s="27"/>
      <c r="AG324" s="27"/>
      <c r="AH324" s="27"/>
    </row>
    <row r="325" spans="1:40" x14ac:dyDescent="0.4">
      <c r="A325" s="28">
        <v>46330</v>
      </c>
      <c r="B325" s="28"/>
      <c r="C325" s="27"/>
      <c r="D325" s="27"/>
      <c r="E325" s="27"/>
      <c r="F325" s="27"/>
      <c r="G325" s="27"/>
      <c r="H325" s="27"/>
      <c r="I325" s="29" t="str">
        <f t="shared" si="4"/>
        <v/>
      </c>
      <c r="J325" s="29"/>
      <c r="K325" s="29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4" t="str">
        <f>IF(ISNUMBER(MATCH(A325, 設定休日!$B$3:$B$50, 0)), 1, "")</f>
        <v/>
      </c>
      <c r="Z325" s="24"/>
      <c r="AA325" s="21"/>
      <c r="AB325" s="27"/>
      <c r="AC325" s="27"/>
      <c r="AD325" s="27"/>
      <c r="AE325" s="27"/>
      <c r="AF325" s="27"/>
      <c r="AG325" s="27"/>
      <c r="AH325" s="27"/>
    </row>
    <row r="326" spans="1:40" x14ac:dyDescent="0.4">
      <c r="A326" s="28">
        <v>46331</v>
      </c>
      <c r="B326" s="28"/>
      <c r="C326" s="27"/>
      <c r="D326" s="27"/>
      <c r="E326" s="27"/>
      <c r="F326" s="27"/>
      <c r="G326" s="27"/>
      <c r="H326" s="27"/>
      <c r="I326" s="29" t="str">
        <f t="shared" si="4"/>
        <v/>
      </c>
      <c r="J326" s="29"/>
      <c r="K326" s="29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4" t="str">
        <f>IF(ISNUMBER(MATCH(A326, 設定休日!$B$3:$B$50, 0)), 1, "")</f>
        <v/>
      </c>
      <c r="Z326" s="24"/>
      <c r="AA326" s="21"/>
      <c r="AB326" s="27"/>
      <c r="AC326" s="27"/>
      <c r="AD326" s="27"/>
      <c r="AE326" s="27"/>
      <c r="AF326" s="27"/>
      <c r="AG326" s="27"/>
      <c r="AH326" s="27"/>
    </row>
    <row r="327" spans="1:40" x14ac:dyDescent="0.4">
      <c r="A327" s="28">
        <v>46332</v>
      </c>
      <c r="B327" s="28"/>
      <c r="C327" s="27"/>
      <c r="D327" s="27"/>
      <c r="E327" s="27"/>
      <c r="F327" s="27"/>
      <c r="G327" s="27"/>
      <c r="H327" s="27"/>
      <c r="I327" s="29" t="str">
        <f t="shared" si="4"/>
        <v/>
      </c>
      <c r="J327" s="29"/>
      <c r="K327" s="29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4" t="str">
        <f>IF(ISNUMBER(MATCH(A327, 設定休日!$B$3:$B$50, 0)), 1, "")</f>
        <v/>
      </c>
      <c r="Z327" s="24"/>
      <c r="AA327" s="21"/>
      <c r="AB327" s="27"/>
      <c r="AC327" s="27"/>
      <c r="AD327" s="27"/>
      <c r="AE327" s="27"/>
      <c r="AF327" s="27"/>
      <c r="AG327" s="27"/>
      <c r="AH327" s="27"/>
    </row>
    <row r="328" spans="1:40" x14ac:dyDescent="0.4">
      <c r="A328" s="28">
        <v>46333</v>
      </c>
      <c r="B328" s="28"/>
      <c r="C328" s="27"/>
      <c r="D328" s="27"/>
      <c r="E328" s="27"/>
      <c r="F328" s="27"/>
      <c r="G328" s="27"/>
      <c r="H328" s="27"/>
      <c r="I328" s="29" t="str">
        <f t="shared" ref="I328:I382" si="5">IF(F328="","",F328-C328-TIME(1,0,0))</f>
        <v/>
      </c>
      <c r="J328" s="29"/>
      <c r="K328" s="29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4" t="str">
        <f>IF(ISNUMBER(MATCH(A328, 設定休日!$B$3:$B$50, 0)), 1, "")</f>
        <v/>
      </c>
      <c r="Z328" s="24"/>
      <c r="AA328" s="21"/>
      <c r="AB328" s="27"/>
      <c r="AC328" s="27"/>
      <c r="AD328" s="27"/>
      <c r="AE328" s="27"/>
      <c r="AF328" s="27"/>
      <c r="AG328" s="27"/>
      <c r="AH328" s="27"/>
    </row>
    <row r="329" spans="1:40" x14ac:dyDescent="0.4">
      <c r="A329" s="28">
        <v>46334</v>
      </c>
      <c r="B329" s="28"/>
      <c r="C329" s="27"/>
      <c r="D329" s="27"/>
      <c r="E329" s="27"/>
      <c r="F329" s="27"/>
      <c r="G329" s="27"/>
      <c r="H329" s="27"/>
      <c r="I329" s="29" t="str">
        <f t="shared" si="5"/>
        <v/>
      </c>
      <c r="J329" s="29"/>
      <c r="K329" s="29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4" t="str">
        <f>IF(ISNUMBER(MATCH(A329, 設定休日!$B$3:$B$50, 0)), 1, "")</f>
        <v/>
      </c>
      <c r="Z329" s="24"/>
      <c r="AA329" s="21"/>
      <c r="AB329" s="27"/>
      <c r="AC329" s="27"/>
      <c r="AD329" s="27"/>
      <c r="AE329" s="27"/>
      <c r="AF329" s="27"/>
      <c r="AG329" s="27"/>
      <c r="AH329" s="27"/>
    </row>
    <row r="330" spans="1:40" x14ac:dyDescent="0.4">
      <c r="A330" s="28">
        <v>46335</v>
      </c>
      <c r="B330" s="28"/>
      <c r="C330" s="27"/>
      <c r="D330" s="27"/>
      <c r="E330" s="27"/>
      <c r="F330" s="27"/>
      <c r="G330" s="27"/>
      <c r="H330" s="27"/>
      <c r="I330" s="29" t="str">
        <f t="shared" si="5"/>
        <v/>
      </c>
      <c r="J330" s="29"/>
      <c r="K330" s="29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4" t="str">
        <f>IF(ISNUMBER(MATCH(A330, 設定休日!$B$3:$B$50, 0)), 1, "")</f>
        <v/>
      </c>
      <c r="Z330" s="24"/>
      <c r="AA330" s="21"/>
      <c r="AB330" s="27"/>
      <c r="AC330" s="27"/>
      <c r="AD330" s="27"/>
      <c r="AE330" s="27"/>
      <c r="AF330" s="27"/>
      <c r="AG330" s="27"/>
      <c r="AH330" s="27"/>
    </row>
    <row r="331" spans="1:40" x14ac:dyDescent="0.4">
      <c r="A331" s="28">
        <v>46336</v>
      </c>
      <c r="B331" s="28"/>
      <c r="C331" s="27"/>
      <c r="D331" s="27"/>
      <c r="E331" s="27"/>
      <c r="F331" s="27"/>
      <c r="G331" s="27"/>
      <c r="H331" s="27"/>
      <c r="I331" s="29" t="str">
        <f t="shared" si="5"/>
        <v/>
      </c>
      <c r="J331" s="29"/>
      <c r="K331" s="29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4" t="str">
        <f>IF(ISNUMBER(MATCH(A331, 設定休日!$B$3:$B$50, 0)), 1, "")</f>
        <v/>
      </c>
      <c r="Z331" s="24"/>
      <c r="AA331" s="21"/>
      <c r="AB331" s="27"/>
      <c r="AC331" s="27"/>
      <c r="AD331" s="27"/>
      <c r="AE331" s="27"/>
      <c r="AF331" s="27"/>
      <c r="AG331" s="27"/>
      <c r="AH331" s="27"/>
    </row>
    <row r="332" spans="1:40" x14ac:dyDescent="0.4">
      <c r="A332" s="28">
        <v>46337</v>
      </c>
      <c r="B332" s="28"/>
      <c r="C332" s="27"/>
      <c r="D332" s="27"/>
      <c r="E332" s="27"/>
      <c r="F332" s="27"/>
      <c r="G332" s="27"/>
      <c r="H332" s="27"/>
      <c r="I332" s="29" t="str">
        <f t="shared" si="5"/>
        <v/>
      </c>
      <c r="J332" s="29"/>
      <c r="K332" s="29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4" t="str">
        <f>IF(ISNUMBER(MATCH(A332, 設定休日!$B$3:$B$50, 0)), 1, "")</f>
        <v/>
      </c>
      <c r="Z332" s="24"/>
      <c r="AA332" s="21"/>
      <c r="AB332" s="27"/>
      <c r="AC332" s="27"/>
      <c r="AD332" s="27"/>
      <c r="AE332" s="27"/>
      <c r="AF332" s="27"/>
      <c r="AG332" s="27"/>
      <c r="AH332" s="27"/>
    </row>
    <row r="333" spans="1:40" x14ac:dyDescent="0.4">
      <c r="A333" s="28">
        <v>46338</v>
      </c>
      <c r="B333" s="28"/>
      <c r="C333" s="27"/>
      <c r="D333" s="27"/>
      <c r="E333" s="27"/>
      <c r="F333" s="27"/>
      <c r="G333" s="27"/>
      <c r="H333" s="27"/>
      <c r="I333" s="29" t="str">
        <f t="shared" si="5"/>
        <v/>
      </c>
      <c r="J333" s="29"/>
      <c r="K333" s="29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4" t="str">
        <f>IF(ISNUMBER(MATCH(A333, 設定休日!$B$3:$B$50, 0)), 1, "")</f>
        <v/>
      </c>
      <c r="Z333" s="24"/>
      <c r="AA333" s="21"/>
      <c r="AB333" s="27"/>
      <c r="AC333" s="27"/>
      <c r="AD333" s="27"/>
      <c r="AE333" s="27"/>
      <c r="AF333" s="27"/>
      <c r="AG333" s="27"/>
      <c r="AH333" s="27"/>
    </row>
    <row r="334" spans="1:40" x14ac:dyDescent="0.4">
      <c r="A334" s="28">
        <v>46339</v>
      </c>
      <c r="B334" s="28"/>
      <c r="C334" s="27"/>
      <c r="D334" s="27"/>
      <c r="E334" s="27"/>
      <c r="F334" s="27"/>
      <c r="G334" s="27"/>
      <c r="H334" s="27"/>
      <c r="I334" s="29" t="str">
        <f t="shared" si="5"/>
        <v/>
      </c>
      <c r="J334" s="29"/>
      <c r="K334" s="29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4" t="str">
        <f>IF(ISNUMBER(MATCH(A334, 設定休日!$B$3:$B$50, 0)), 1, "")</f>
        <v/>
      </c>
      <c r="Z334" s="24"/>
      <c r="AA334" s="21"/>
      <c r="AB334" s="27"/>
      <c r="AC334" s="27"/>
      <c r="AD334" s="27"/>
      <c r="AE334" s="27"/>
      <c r="AF334" s="27"/>
      <c r="AG334" s="27"/>
      <c r="AH334" s="27"/>
      <c r="AI334" s="13">
        <f>MONTH(A334)</f>
        <v>11</v>
      </c>
      <c r="AJ334" s="11" t="s">
        <v>47</v>
      </c>
      <c r="AK334" s="11" t="s">
        <v>48</v>
      </c>
      <c r="AM334" s="9" t="s">
        <v>50</v>
      </c>
      <c r="AN334" s="9" t="s">
        <v>53</v>
      </c>
    </row>
    <row r="335" spans="1:40" x14ac:dyDescent="0.4">
      <c r="A335" s="28">
        <v>46340</v>
      </c>
      <c r="B335" s="28"/>
      <c r="C335" s="27"/>
      <c r="D335" s="27"/>
      <c r="E335" s="27"/>
      <c r="F335" s="27"/>
      <c r="G335" s="27"/>
      <c r="H335" s="27"/>
      <c r="I335" s="29" t="str">
        <f t="shared" si="5"/>
        <v/>
      </c>
      <c r="J335" s="29"/>
      <c r="K335" s="29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4" t="str">
        <f>IF(ISNUMBER(MATCH(A335, 設定休日!$B$3:$B$50, 0)), 1, "")</f>
        <v/>
      </c>
      <c r="Z335" s="24"/>
      <c r="AA335" s="21"/>
      <c r="AB335" s="27"/>
      <c r="AC335" s="27"/>
      <c r="AD335" s="27"/>
      <c r="AE335" s="27"/>
      <c r="AF335" s="27"/>
      <c r="AG335" s="27"/>
      <c r="AH335" s="27"/>
      <c r="AI335" s="14" t="s">
        <v>41</v>
      </c>
      <c r="AJ335" s="9">
        <f>AM335-AM336+1</f>
        <v>31</v>
      </c>
      <c r="AK335" s="9">
        <f>AJ335</f>
        <v>31</v>
      </c>
      <c r="AM335" s="9">
        <f>MATCH(DATE($A$4,AI334,20),A:A,0)</f>
        <v>341</v>
      </c>
      <c r="AN335" s="9" t="s">
        <v>51</v>
      </c>
    </row>
    <row r="336" spans="1:40" x14ac:dyDescent="0.4">
      <c r="A336" s="28">
        <v>46341</v>
      </c>
      <c r="B336" s="28"/>
      <c r="C336" s="27"/>
      <c r="D336" s="27"/>
      <c r="E336" s="27"/>
      <c r="F336" s="27"/>
      <c r="G336" s="27"/>
      <c r="H336" s="27"/>
      <c r="I336" s="29" t="str">
        <f t="shared" si="5"/>
        <v/>
      </c>
      <c r="J336" s="29"/>
      <c r="K336" s="29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4" t="str">
        <f>IF(ISNUMBER(MATCH(A336, 設定休日!$B$3:$B$50, 0)), 1, "")</f>
        <v/>
      </c>
      <c r="Z336" s="24"/>
      <c r="AA336" s="21"/>
      <c r="AB336" s="27"/>
      <c r="AC336" s="27"/>
      <c r="AD336" s="27"/>
      <c r="AE336" s="27"/>
      <c r="AF336" s="27"/>
      <c r="AG336" s="27"/>
      <c r="AH336" s="27"/>
      <c r="AI336" s="9" t="s">
        <v>42</v>
      </c>
      <c r="AJ336" s="9" cm="1">
        <f t="array" aca="1" ref="AJ336" ca="1">AJ335-SUMPRODUCT(COUNTIF(INDIRECT("A"&amp;AM335&amp;":A"&amp;AM336),祝日!B276:B323))+SUMPRODUCT(COUNTIF(INDIRECT("A"&amp;AM335&amp;":A"&amp;AM336),設定休日!B276:B323))</f>
        <v>31</v>
      </c>
      <c r="AK336" s="9">
        <f ca="1">AJ336</f>
        <v>31</v>
      </c>
      <c r="AM336" s="9">
        <f>MATCH(DATE(IF(MONTH(A317)=12,$A$4-1,$A$4),MONTH(A317),21),A:A,0)</f>
        <v>311</v>
      </c>
      <c r="AN336" s="9" t="s">
        <v>52</v>
      </c>
    </row>
    <row r="337" spans="1:40" x14ac:dyDescent="0.4">
      <c r="A337" s="28">
        <v>46342</v>
      </c>
      <c r="B337" s="28"/>
      <c r="C337" s="27"/>
      <c r="D337" s="27"/>
      <c r="E337" s="27"/>
      <c r="F337" s="27"/>
      <c r="G337" s="27"/>
      <c r="H337" s="27"/>
      <c r="I337" s="29" t="str">
        <f t="shared" si="5"/>
        <v/>
      </c>
      <c r="J337" s="29"/>
      <c r="K337" s="29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4" t="str">
        <f>IF(ISNUMBER(MATCH(A337, 設定休日!$B$3:$B$50, 0)), 1, "")</f>
        <v/>
      </c>
      <c r="Z337" s="24"/>
      <c r="AA337" s="21"/>
      <c r="AB337" s="27"/>
      <c r="AC337" s="27"/>
      <c r="AD337" s="27"/>
      <c r="AE337" s="27"/>
      <c r="AF337" s="27"/>
      <c r="AG337" s="27"/>
      <c r="AH337" s="27"/>
      <c r="AI337" s="9" t="s">
        <v>43</v>
      </c>
      <c r="AJ337" s="12">
        <f ca="1">AJ336*TIME(7,0,0)</f>
        <v>9.0416666666666679</v>
      </c>
      <c r="AM337" s="9" t="s">
        <v>54</v>
      </c>
      <c r="AN337" s="9" t="s">
        <v>55</v>
      </c>
    </row>
    <row r="338" spans="1:40" x14ac:dyDescent="0.4">
      <c r="A338" s="28">
        <v>46343</v>
      </c>
      <c r="B338" s="28"/>
      <c r="C338" s="27"/>
      <c r="D338" s="27"/>
      <c r="E338" s="27"/>
      <c r="F338" s="27"/>
      <c r="G338" s="27"/>
      <c r="H338" s="27"/>
      <c r="I338" s="29" t="str">
        <f t="shared" si="5"/>
        <v/>
      </c>
      <c r="J338" s="29"/>
      <c r="K338" s="29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4" t="str">
        <f>IF(ISNUMBER(MATCH(A338, 設定休日!$B$3:$B$50, 0)), 1, "")</f>
        <v/>
      </c>
      <c r="Z338" s="24"/>
      <c r="AA338" s="21"/>
      <c r="AB338" s="27"/>
      <c r="AC338" s="27"/>
      <c r="AD338" s="27"/>
      <c r="AE338" s="27"/>
      <c r="AF338" s="27"/>
      <c r="AG338" s="27"/>
      <c r="AH338" s="27"/>
      <c r="AI338" s="9" t="s">
        <v>44</v>
      </c>
      <c r="AJ338" s="12">
        <f ca="1">SUM(INDIRECT("I"&amp;AM335&amp;":I"&amp;AM336))</f>
        <v>0</v>
      </c>
      <c r="AN338" s="9" t="s">
        <v>59</v>
      </c>
    </row>
    <row r="339" spans="1:40" x14ac:dyDescent="0.4">
      <c r="A339" s="28">
        <v>46344</v>
      </c>
      <c r="B339" s="28"/>
      <c r="C339" s="27"/>
      <c r="D339" s="27"/>
      <c r="E339" s="27"/>
      <c r="F339" s="27"/>
      <c r="G339" s="27"/>
      <c r="H339" s="27"/>
      <c r="I339" s="29" t="str">
        <f t="shared" si="5"/>
        <v/>
      </c>
      <c r="J339" s="29"/>
      <c r="K339" s="29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4" t="str">
        <f>IF(ISNUMBER(MATCH(A339, 設定休日!$B$3:$B$50, 0)), 1, "")</f>
        <v/>
      </c>
      <c r="Z339" s="24"/>
      <c r="AA339" s="21"/>
      <c r="AB339" s="27"/>
      <c r="AC339" s="27"/>
      <c r="AD339" s="27"/>
      <c r="AE339" s="27"/>
      <c r="AF339" s="27"/>
      <c r="AG339" s="27"/>
      <c r="AH339" s="27"/>
      <c r="AI339" s="9" t="s">
        <v>49</v>
      </c>
      <c r="AJ339" s="12" t="str">
        <f ca="1">IF(AJ338-AJ337&lt;=0,"",AJ338-AJ337)</f>
        <v/>
      </c>
    </row>
    <row r="340" spans="1:40" x14ac:dyDescent="0.4">
      <c r="A340" s="28">
        <v>46345</v>
      </c>
      <c r="B340" s="28"/>
      <c r="C340" s="27"/>
      <c r="D340" s="27"/>
      <c r="E340" s="27"/>
      <c r="F340" s="27"/>
      <c r="G340" s="27"/>
      <c r="H340" s="27"/>
      <c r="I340" s="29" t="str">
        <f t="shared" si="5"/>
        <v/>
      </c>
      <c r="J340" s="29"/>
      <c r="K340" s="29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4" t="str">
        <f>IF(ISNUMBER(MATCH(A340, 設定休日!$B$3:$B$50, 0)), 1, "")</f>
        <v/>
      </c>
      <c r="Z340" s="24"/>
      <c r="AA340" s="21"/>
      <c r="AB340" s="27"/>
      <c r="AC340" s="27"/>
      <c r="AD340" s="27"/>
      <c r="AE340" s="27"/>
      <c r="AF340" s="27"/>
      <c r="AG340" s="27"/>
      <c r="AH340" s="27"/>
      <c r="AI340" s="9" t="s">
        <v>45</v>
      </c>
      <c r="AJ340" s="9">
        <f ca="1">COUNTA(INDIRECT("Z"&amp;AM335&amp;":Z"&amp;AM336))</f>
        <v>0</v>
      </c>
      <c r="AK340" s="9" cm="1">
        <f t="array" ref="AK340">SUMPRODUCT( --(Z311:Z686&lt;&gt;""))</f>
        <v>1</v>
      </c>
    </row>
    <row r="341" spans="1:40" ht="19.5" thickBot="1" x14ac:dyDescent="0.45">
      <c r="A341" s="34">
        <v>46346</v>
      </c>
      <c r="B341" s="34"/>
      <c r="C341" s="30"/>
      <c r="D341" s="30"/>
      <c r="E341" s="30"/>
      <c r="F341" s="30"/>
      <c r="G341" s="30"/>
      <c r="H341" s="30"/>
      <c r="I341" s="35" t="str">
        <f t="shared" si="5"/>
        <v/>
      </c>
      <c r="J341" s="35"/>
      <c r="K341" s="35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25" t="str">
        <f>IF(ISNUMBER(MATCH(A341, 設定休日!$B$3:$B$50, 0)), 1, "")</f>
        <v/>
      </c>
      <c r="Z341" s="25"/>
      <c r="AA341" s="23"/>
      <c r="AB341" s="30"/>
      <c r="AC341" s="30"/>
      <c r="AD341" s="30"/>
      <c r="AE341" s="30"/>
      <c r="AF341" s="30"/>
      <c r="AG341" s="30"/>
      <c r="AH341" s="30"/>
      <c r="AI341" s="10" t="s">
        <v>46</v>
      </c>
      <c r="AJ341" s="10">
        <f ca="1">SUM(INDIRECT("AA"&amp;AM335&amp;":AA"&amp;AM336))</f>
        <v>0</v>
      </c>
      <c r="AK341" s="10">
        <f>SUM(AA311:AA686)</f>
        <v>0</v>
      </c>
      <c r="AL341" s="10"/>
      <c r="AM341" s="10"/>
    </row>
    <row r="342" spans="1:40" x14ac:dyDescent="0.4">
      <c r="A342" s="31">
        <v>46347</v>
      </c>
      <c r="B342" s="31"/>
      <c r="C342" s="32"/>
      <c r="D342" s="32"/>
      <c r="E342" s="32"/>
      <c r="F342" s="32"/>
      <c r="G342" s="32"/>
      <c r="H342" s="32"/>
      <c r="I342" s="33" t="str">
        <f t="shared" si="5"/>
        <v/>
      </c>
      <c r="J342" s="33"/>
      <c r="K342" s="33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26" t="str">
        <f>IF(ISNUMBER(MATCH(A342, 設定休日!$B$3:$B$50, 0)), 1, "")</f>
        <v/>
      </c>
      <c r="Z342" s="26"/>
      <c r="AA342" s="22"/>
      <c r="AB342" s="32"/>
      <c r="AC342" s="32"/>
      <c r="AD342" s="32"/>
      <c r="AE342" s="32"/>
      <c r="AF342" s="32"/>
      <c r="AG342" s="32"/>
      <c r="AH342" s="32"/>
    </row>
    <row r="343" spans="1:40" x14ac:dyDescent="0.4">
      <c r="A343" s="28">
        <v>46348</v>
      </c>
      <c r="B343" s="28"/>
      <c r="C343" s="27"/>
      <c r="D343" s="27"/>
      <c r="E343" s="27"/>
      <c r="F343" s="27"/>
      <c r="G343" s="27"/>
      <c r="H343" s="27"/>
      <c r="I343" s="29" t="str">
        <f t="shared" si="5"/>
        <v/>
      </c>
      <c r="J343" s="29"/>
      <c r="K343" s="29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4" t="str">
        <f>IF(ISNUMBER(MATCH(A343, 設定休日!$B$3:$B$50, 0)), 1, "")</f>
        <v/>
      </c>
      <c r="Z343" s="24"/>
      <c r="AA343" s="21"/>
      <c r="AB343" s="27"/>
      <c r="AC343" s="27"/>
      <c r="AD343" s="27"/>
      <c r="AE343" s="27"/>
      <c r="AF343" s="27"/>
      <c r="AG343" s="27"/>
      <c r="AH343" s="27"/>
    </row>
    <row r="344" spans="1:40" x14ac:dyDescent="0.4">
      <c r="A344" s="28">
        <v>46349</v>
      </c>
      <c r="B344" s="28"/>
      <c r="C344" s="27"/>
      <c r="D344" s="27"/>
      <c r="E344" s="27"/>
      <c r="F344" s="27"/>
      <c r="G344" s="27"/>
      <c r="H344" s="27"/>
      <c r="I344" s="29" t="str">
        <f t="shared" si="5"/>
        <v/>
      </c>
      <c r="J344" s="29"/>
      <c r="K344" s="29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4" t="str">
        <f>IF(ISNUMBER(MATCH(A344, 設定休日!$B$3:$B$50, 0)), 1, "")</f>
        <v/>
      </c>
      <c r="Z344" s="24"/>
      <c r="AA344" s="21"/>
      <c r="AB344" s="27"/>
      <c r="AC344" s="27"/>
      <c r="AD344" s="27"/>
      <c r="AE344" s="27"/>
      <c r="AF344" s="27"/>
      <c r="AG344" s="27"/>
      <c r="AH344" s="27"/>
    </row>
    <row r="345" spans="1:40" x14ac:dyDescent="0.4">
      <c r="A345" s="28">
        <v>46350</v>
      </c>
      <c r="B345" s="28"/>
      <c r="C345" s="27"/>
      <c r="D345" s="27"/>
      <c r="E345" s="27"/>
      <c r="F345" s="27"/>
      <c r="G345" s="27"/>
      <c r="H345" s="27"/>
      <c r="I345" s="29" t="str">
        <f t="shared" si="5"/>
        <v/>
      </c>
      <c r="J345" s="29"/>
      <c r="K345" s="29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4" t="str">
        <f>IF(ISNUMBER(MATCH(A345, 設定休日!$B$3:$B$50, 0)), 1, "")</f>
        <v/>
      </c>
      <c r="Z345" s="24"/>
      <c r="AA345" s="21"/>
      <c r="AB345" s="27"/>
      <c r="AC345" s="27"/>
      <c r="AD345" s="27"/>
      <c r="AE345" s="27"/>
      <c r="AF345" s="27"/>
      <c r="AG345" s="27"/>
      <c r="AH345" s="27"/>
    </row>
    <row r="346" spans="1:40" x14ac:dyDescent="0.4">
      <c r="A346" s="28">
        <v>46351</v>
      </c>
      <c r="B346" s="28"/>
      <c r="C346" s="27"/>
      <c r="D346" s="27"/>
      <c r="E346" s="27"/>
      <c r="F346" s="27"/>
      <c r="G346" s="27"/>
      <c r="H346" s="27"/>
      <c r="I346" s="29" t="str">
        <f t="shared" si="5"/>
        <v/>
      </c>
      <c r="J346" s="29"/>
      <c r="K346" s="29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4" t="str">
        <f>IF(ISNUMBER(MATCH(A346, 設定休日!$B$3:$B$50, 0)), 1, "")</f>
        <v/>
      </c>
      <c r="Z346" s="24"/>
      <c r="AA346" s="21"/>
      <c r="AB346" s="27"/>
      <c r="AC346" s="27"/>
      <c r="AD346" s="27"/>
      <c r="AE346" s="27"/>
      <c r="AF346" s="27"/>
      <c r="AG346" s="27"/>
      <c r="AH346" s="27"/>
    </row>
    <row r="347" spans="1:40" x14ac:dyDescent="0.4">
      <c r="A347" s="28">
        <v>46352</v>
      </c>
      <c r="B347" s="28"/>
      <c r="C347" s="27"/>
      <c r="D347" s="27"/>
      <c r="E347" s="27"/>
      <c r="F347" s="27"/>
      <c r="G347" s="27"/>
      <c r="H347" s="27"/>
      <c r="I347" s="29" t="str">
        <f t="shared" si="5"/>
        <v/>
      </c>
      <c r="J347" s="29"/>
      <c r="K347" s="29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4" t="str">
        <f>IF(ISNUMBER(MATCH(A347, 設定休日!$B$3:$B$50, 0)), 1, "")</f>
        <v/>
      </c>
      <c r="Z347" s="24"/>
      <c r="AA347" s="21"/>
      <c r="AB347" s="27"/>
      <c r="AC347" s="27"/>
      <c r="AD347" s="27"/>
      <c r="AE347" s="27"/>
      <c r="AF347" s="27"/>
      <c r="AG347" s="27"/>
      <c r="AH347" s="27"/>
    </row>
    <row r="348" spans="1:40" x14ac:dyDescent="0.4">
      <c r="A348" s="28">
        <v>46353</v>
      </c>
      <c r="B348" s="28"/>
      <c r="C348" s="27"/>
      <c r="D348" s="27"/>
      <c r="E348" s="27"/>
      <c r="F348" s="27"/>
      <c r="G348" s="27"/>
      <c r="H348" s="27"/>
      <c r="I348" s="29" t="str">
        <f t="shared" si="5"/>
        <v/>
      </c>
      <c r="J348" s="29"/>
      <c r="K348" s="29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4" t="str">
        <f>IF(ISNUMBER(MATCH(A348, 設定休日!$B$3:$B$50, 0)), 1, "")</f>
        <v/>
      </c>
      <c r="Z348" s="24"/>
      <c r="AA348" s="21"/>
      <c r="AB348" s="27"/>
      <c r="AC348" s="27"/>
      <c r="AD348" s="27"/>
      <c r="AE348" s="27"/>
      <c r="AF348" s="27"/>
      <c r="AG348" s="27"/>
      <c r="AH348" s="27"/>
    </row>
    <row r="349" spans="1:40" x14ac:dyDescent="0.4">
      <c r="A349" s="28">
        <v>46354</v>
      </c>
      <c r="B349" s="28"/>
      <c r="C349" s="27"/>
      <c r="D349" s="27"/>
      <c r="E349" s="27"/>
      <c r="F349" s="27"/>
      <c r="G349" s="27"/>
      <c r="H349" s="27"/>
      <c r="I349" s="29" t="str">
        <f t="shared" si="5"/>
        <v/>
      </c>
      <c r="J349" s="29"/>
      <c r="K349" s="29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4" t="str">
        <f>IF(ISNUMBER(MATCH(A349, 設定休日!$B$3:$B$50, 0)), 1, "")</f>
        <v/>
      </c>
      <c r="Z349" s="24"/>
      <c r="AA349" s="21"/>
      <c r="AB349" s="27"/>
      <c r="AC349" s="27"/>
      <c r="AD349" s="27"/>
      <c r="AE349" s="27"/>
      <c r="AF349" s="27"/>
      <c r="AG349" s="27"/>
      <c r="AH349" s="27"/>
    </row>
    <row r="350" spans="1:40" x14ac:dyDescent="0.4">
      <c r="A350" s="28">
        <v>46355</v>
      </c>
      <c r="B350" s="28"/>
      <c r="C350" s="27"/>
      <c r="D350" s="27"/>
      <c r="E350" s="27"/>
      <c r="F350" s="27"/>
      <c r="G350" s="27"/>
      <c r="H350" s="27"/>
      <c r="I350" s="29" t="str">
        <f t="shared" si="5"/>
        <v/>
      </c>
      <c r="J350" s="29"/>
      <c r="K350" s="29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4" t="str">
        <f>IF(ISNUMBER(MATCH(A350, 設定休日!$B$3:$B$50, 0)), 1, "")</f>
        <v/>
      </c>
      <c r="Z350" s="24"/>
      <c r="AA350" s="21"/>
      <c r="AB350" s="27"/>
      <c r="AC350" s="27"/>
      <c r="AD350" s="27"/>
      <c r="AE350" s="27"/>
      <c r="AF350" s="27"/>
      <c r="AG350" s="27"/>
      <c r="AH350" s="27"/>
    </row>
    <row r="351" spans="1:40" x14ac:dyDescent="0.4">
      <c r="A351" s="28">
        <v>46356</v>
      </c>
      <c r="B351" s="28"/>
      <c r="C351" s="27"/>
      <c r="D351" s="27"/>
      <c r="E351" s="27"/>
      <c r="F351" s="27"/>
      <c r="G351" s="27"/>
      <c r="H351" s="27"/>
      <c r="I351" s="29" t="str">
        <f t="shared" si="5"/>
        <v/>
      </c>
      <c r="J351" s="29"/>
      <c r="K351" s="29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4" t="str">
        <f>IF(ISNUMBER(MATCH(A351, 設定休日!$B$3:$B$50, 0)), 1, "")</f>
        <v/>
      </c>
      <c r="Z351" s="24"/>
      <c r="AA351" s="21"/>
      <c r="AB351" s="27"/>
      <c r="AC351" s="27"/>
      <c r="AD351" s="27"/>
      <c r="AE351" s="27"/>
      <c r="AF351" s="27"/>
      <c r="AG351" s="27"/>
      <c r="AH351" s="27"/>
    </row>
    <row r="352" spans="1:40" x14ac:dyDescent="0.4">
      <c r="A352" s="28">
        <v>46357</v>
      </c>
      <c r="B352" s="28"/>
      <c r="C352" s="27"/>
      <c r="D352" s="27"/>
      <c r="E352" s="27"/>
      <c r="F352" s="27"/>
      <c r="G352" s="27"/>
      <c r="H352" s="27"/>
      <c r="I352" s="29" t="str">
        <f t="shared" si="5"/>
        <v/>
      </c>
      <c r="J352" s="29"/>
      <c r="K352" s="29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4" t="str">
        <f>IF(ISNUMBER(MATCH(A352, 設定休日!$B$3:$B$50, 0)), 1, "")</f>
        <v/>
      </c>
      <c r="Z352" s="24"/>
      <c r="AA352" s="21"/>
      <c r="AB352" s="27"/>
      <c r="AC352" s="27"/>
      <c r="AD352" s="27"/>
      <c r="AE352" s="27"/>
      <c r="AF352" s="27"/>
      <c r="AG352" s="27"/>
      <c r="AH352" s="27"/>
    </row>
    <row r="353" spans="1:40" x14ac:dyDescent="0.4">
      <c r="A353" s="28">
        <v>46358</v>
      </c>
      <c r="B353" s="28"/>
      <c r="C353" s="27"/>
      <c r="D353" s="27"/>
      <c r="E353" s="27"/>
      <c r="F353" s="27"/>
      <c r="G353" s="27"/>
      <c r="H353" s="27"/>
      <c r="I353" s="29" t="str">
        <f t="shared" si="5"/>
        <v/>
      </c>
      <c r="J353" s="29"/>
      <c r="K353" s="29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4" t="str">
        <f>IF(ISNUMBER(MATCH(A353, 設定休日!$B$3:$B$50, 0)), 1, "")</f>
        <v/>
      </c>
      <c r="Z353" s="24"/>
      <c r="AA353" s="21"/>
      <c r="AB353" s="27"/>
      <c r="AC353" s="27"/>
      <c r="AD353" s="27"/>
      <c r="AE353" s="27"/>
      <c r="AF353" s="27"/>
      <c r="AG353" s="27"/>
      <c r="AH353" s="27"/>
    </row>
    <row r="354" spans="1:40" x14ac:dyDescent="0.4">
      <c r="A354" s="28">
        <v>46359</v>
      </c>
      <c r="B354" s="28"/>
      <c r="C354" s="27"/>
      <c r="D354" s="27"/>
      <c r="E354" s="27"/>
      <c r="F354" s="27"/>
      <c r="G354" s="27"/>
      <c r="H354" s="27"/>
      <c r="I354" s="29" t="str">
        <f t="shared" si="5"/>
        <v/>
      </c>
      <c r="J354" s="29"/>
      <c r="K354" s="29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4" t="str">
        <f>IF(ISNUMBER(MATCH(A354, 設定休日!$B$3:$B$50, 0)), 1, "")</f>
        <v/>
      </c>
      <c r="Z354" s="24"/>
      <c r="AA354" s="21"/>
      <c r="AB354" s="27"/>
      <c r="AC354" s="27"/>
      <c r="AD354" s="27"/>
      <c r="AE354" s="27"/>
      <c r="AF354" s="27"/>
      <c r="AG354" s="27"/>
      <c r="AH354" s="27"/>
    </row>
    <row r="355" spans="1:40" x14ac:dyDescent="0.4">
      <c r="A355" s="28">
        <v>46360</v>
      </c>
      <c r="B355" s="28"/>
      <c r="C355" s="27"/>
      <c r="D355" s="27"/>
      <c r="E355" s="27"/>
      <c r="F355" s="27"/>
      <c r="G355" s="27"/>
      <c r="H355" s="27"/>
      <c r="I355" s="29" t="str">
        <f t="shared" si="5"/>
        <v/>
      </c>
      <c r="J355" s="29"/>
      <c r="K355" s="29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4" t="str">
        <f>IF(ISNUMBER(MATCH(A355, 設定休日!$B$3:$B$50, 0)), 1, "")</f>
        <v/>
      </c>
      <c r="Z355" s="24"/>
      <c r="AA355" s="21"/>
      <c r="AB355" s="27"/>
      <c r="AC355" s="27"/>
      <c r="AD355" s="27"/>
      <c r="AE355" s="27"/>
      <c r="AF355" s="27"/>
      <c r="AG355" s="27"/>
      <c r="AH355" s="27"/>
    </row>
    <row r="356" spans="1:40" x14ac:dyDescent="0.4">
      <c r="A356" s="28">
        <v>46361</v>
      </c>
      <c r="B356" s="28"/>
      <c r="C356" s="27"/>
      <c r="D356" s="27"/>
      <c r="E356" s="27"/>
      <c r="F356" s="27"/>
      <c r="G356" s="27"/>
      <c r="H356" s="27"/>
      <c r="I356" s="29" t="str">
        <f t="shared" si="5"/>
        <v/>
      </c>
      <c r="J356" s="29"/>
      <c r="K356" s="29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4" t="str">
        <f>IF(ISNUMBER(MATCH(A356, 設定休日!$B$3:$B$50, 0)), 1, "")</f>
        <v/>
      </c>
      <c r="Z356" s="24"/>
      <c r="AA356" s="21"/>
      <c r="AB356" s="27"/>
      <c r="AC356" s="27"/>
      <c r="AD356" s="27"/>
      <c r="AE356" s="27"/>
      <c r="AF356" s="27"/>
      <c r="AG356" s="27"/>
      <c r="AH356" s="27"/>
    </row>
    <row r="357" spans="1:40" x14ac:dyDescent="0.4">
      <c r="A357" s="28">
        <v>46362</v>
      </c>
      <c r="B357" s="28"/>
      <c r="C357" s="27"/>
      <c r="D357" s="27"/>
      <c r="E357" s="27"/>
      <c r="F357" s="27"/>
      <c r="G357" s="27"/>
      <c r="H357" s="27"/>
      <c r="I357" s="29" t="str">
        <f t="shared" si="5"/>
        <v/>
      </c>
      <c r="J357" s="29"/>
      <c r="K357" s="29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4" t="str">
        <f>IF(ISNUMBER(MATCH(A357, 設定休日!$B$3:$B$50, 0)), 1, "")</f>
        <v/>
      </c>
      <c r="Z357" s="24"/>
      <c r="AA357" s="21"/>
      <c r="AB357" s="27"/>
      <c r="AC357" s="27"/>
      <c r="AD357" s="27"/>
      <c r="AE357" s="27"/>
      <c r="AF357" s="27"/>
      <c r="AG357" s="27"/>
      <c r="AH357" s="27"/>
    </row>
    <row r="358" spans="1:40" x14ac:dyDescent="0.4">
      <c r="A358" s="28">
        <v>46363</v>
      </c>
      <c r="B358" s="28"/>
      <c r="C358" s="27"/>
      <c r="D358" s="27"/>
      <c r="E358" s="27"/>
      <c r="F358" s="27"/>
      <c r="G358" s="27"/>
      <c r="H358" s="27"/>
      <c r="I358" s="29" t="str">
        <f t="shared" si="5"/>
        <v/>
      </c>
      <c r="J358" s="29"/>
      <c r="K358" s="29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4" t="str">
        <f>IF(ISNUMBER(MATCH(A358, 設定休日!$B$3:$B$50, 0)), 1, "")</f>
        <v/>
      </c>
      <c r="Z358" s="24"/>
      <c r="AA358" s="21"/>
      <c r="AB358" s="27"/>
      <c r="AC358" s="27"/>
      <c r="AD358" s="27"/>
      <c r="AE358" s="27"/>
      <c r="AF358" s="27"/>
      <c r="AG358" s="27"/>
      <c r="AH358" s="27"/>
    </row>
    <row r="359" spans="1:40" x14ac:dyDescent="0.4">
      <c r="A359" s="28">
        <v>46364</v>
      </c>
      <c r="B359" s="28"/>
      <c r="C359" s="27"/>
      <c r="D359" s="27"/>
      <c r="E359" s="27"/>
      <c r="F359" s="27"/>
      <c r="G359" s="27"/>
      <c r="H359" s="27"/>
      <c r="I359" s="29" t="str">
        <f t="shared" si="5"/>
        <v/>
      </c>
      <c r="J359" s="29"/>
      <c r="K359" s="29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4" t="str">
        <f>IF(ISNUMBER(MATCH(A359, 設定休日!$B$3:$B$50, 0)), 1, "")</f>
        <v/>
      </c>
      <c r="Z359" s="24"/>
      <c r="AA359" s="21"/>
      <c r="AB359" s="27"/>
      <c r="AC359" s="27"/>
      <c r="AD359" s="27"/>
      <c r="AE359" s="27"/>
      <c r="AF359" s="27"/>
      <c r="AG359" s="27"/>
      <c r="AH359" s="27"/>
    </row>
    <row r="360" spans="1:40" x14ac:dyDescent="0.4">
      <c r="A360" s="28">
        <v>46365</v>
      </c>
      <c r="B360" s="28"/>
      <c r="C360" s="27"/>
      <c r="D360" s="27"/>
      <c r="E360" s="27"/>
      <c r="F360" s="27"/>
      <c r="G360" s="27"/>
      <c r="H360" s="27"/>
      <c r="I360" s="29" t="str">
        <f t="shared" si="5"/>
        <v/>
      </c>
      <c r="J360" s="29"/>
      <c r="K360" s="29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4" t="str">
        <f>IF(ISNUMBER(MATCH(A360, 設定休日!$B$3:$B$50, 0)), 1, "")</f>
        <v/>
      </c>
      <c r="Z360" s="24"/>
      <c r="AA360" s="21"/>
      <c r="AB360" s="27"/>
      <c r="AC360" s="27"/>
      <c r="AD360" s="27"/>
      <c r="AE360" s="27"/>
      <c r="AF360" s="27"/>
      <c r="AG360" s="27"/>
      <c r="AH360" s="27"/>
    </row>
    <row r="361" spans="1:40" x14ac:dyDescent="0.4">
      <c r="A361" s="28">
        <v>46366</v>
      </c>
      <c r="B361" s="28"/>
      <c r="C361" s="27"/>
      <c r="D361" s="27"/>
      <c r="E361" s="27"/>
      <c r="F361" s="27"/>
      <c r="G361" s="27"/>
      <c r="H361" s="27"/>
      <c r="I361" s="29" t="str">
        <f t="shared" si="5"/>
        <v/>
      </c>
      <c r="J361" s="29"/>
      <c r="K361" s="29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4" t="str">
        <f>IF(ISNUMBER(MATCH(A361, 設定休日!$B$3:$B$50, 0)), 1, "")</f>
        <v/>
      </c>
      <c r="Z361" s="24"/>
      <c r="AA361" s="21"/>
      <c r="AB361" s="27"/>
      <c r="AC361" s="27"/>
      <c r="AD361" s="27"/>
      <c r="AE361" s="27"/>
      <c r="AF361" s="27"/>
      <c r="AG361" s="27"/>
      <c r="AH361" s="27"/>
    </row>
    <row r="362" spans="1:40" x14ac:dyDescent="0.4">
      <c r="A362" s="28">
        <v>46367</v>
      </c>
      <c r="B362" s="28"/>
      <c r="C362" s="27"/>
      <c r="D362" s="27"/>
      <c r="E362" s="27"/>
      <c r="F362" s="27"/>
      <c r="G362" s="27"/>
      <c r="H362" s="27"/>
      <c r="I362" s="29" t="str">
        <f t="shared" si="5"/>
        <v/>
      </c>
      <c r="J362" s="29"/>
      <c r="K362" s="29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4" t="str">
        <f>IF(ISNUMBER(MATCH(A362, 設定休日!$B$3:$B$50, 0)), 1, "")</f>
        <v/>
      </c>
      <c r="Z362" s="24"/>
      <c r="AA362" s="21"/>
      <c r="AB362" s="27"/>
      <c r="AC362" s="27"/>
      <c r="AD362" s="27"/>
      <c r="AE362" s="27"/>
      <c r="AF362" s="27"/>
      <c r="AG362" s="27"/>
      <c r="AH362" s="27"/>
    </row>
    <row r="363" spans="1:40" x14ac:dyDescent="0.4">
      <c r="A363" s="28">
        <v>46368</v>
      </c>
      <c r="B363" s="28"/>
      <c r="C363" s="27"/>
      <c r="D363" s="27"/>
      <c r="E363" s="27"/>
      <c r="F363" s="27"/>
      <c r="G363" s="27"/>
      <c r="H363" s="27"/>
      <c r="I363" s="29" t="str">
        <f t="shared" si="5"/>
        <v/>
      </c>
      <c r="J363" s="29"/>
      <c r="K363" s="29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4" t="str">
        <f>IF(ISNUMBER(MATCH(A363, 設定休日!$B$3:$B$50, 0)), 1, "")</f>
        <v/>
      </c>
      <c r="Z363" s="24"/>
      <c r="AA363" s="21"/>
      <c r="AB363" s="27"/>
      <c r="AC363" s="27"/>
      <c r="AD363" s="27"/>
      <c r="AE363" s="27"/>
      <c r="AF363" s="27"/>
      <c r="AG363" s="27"/>
      <c r="AH363" s="27"/>
    </row>
    <row r="364" spans="1:40" x14ac:dyDescent="0.4">
      <c r="A364" s="28">
        <v>46369</v>
      </c>
      <c r="B364" s="28"/>
      <c r="C364" s="27"/>
      <c r="D364" s="27"/>
      <c r="E364" s="27"/>
      <c r="F364" s="27"/>
      <c r="G364" s="27"/>
      <c r="H364" s="27"/>
      <c r="I364" s="29" t="str">
        <f t="shared" si="5"/>
        <v/>
      </c>
      <c r="J364" s="29"/>
      <c r="K364" s="29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4" t="str">
        <f>IF(ISNUMBER(MATCH(A364, 設定休日!$B$3:$B$50, 0)), 1, "")</f>
        <v/>
      </c>
      <c r="Z364" s="24"/>
      <c r="AA364" s="21"/>
      <c r="AB364" s="27"/>
      <c r="AC364" s="27"/>
      <c r="AD364" s="27"/>
      <c r="AE364" s="27"/>
      <c r="AF364" s="27"/>
      <c r="AG364" s="27"/>
      <c r="AH364" s="27"/>
      <c r="AI364" s="13">
        <f>MONTH(A364)</f>
        <v>12</v>
      </c>
      <c r="AJ364" s="11" t="s">
        <v>47</v>
      </c>
      <c r="AK364" s="11" t="s">
        <v>48</v>
      </c>
      <c r="AM364" s="9" t="s">
        <v>50</v>
      </c>
      <c r="AN364" s="9" t="s">
        <v>53</v>
      </c>
    </row>
    <row r="365" spans="1:40" x14ac:dyDescent="0.4">
      <c r="A365" s="28">
        <v>46370</v>
      </c>
      <c r="B365" s="28"/>
      <c r="C365" s="27"/>
      <c r="D365" s="27"/>
      <c r="E365" s="27"/>
      <c r="F365" s="27"/>
      <c r="G365" s="27"/>
      <c r="H365" s="27"/>
      <c r="I365" s="29" t="str">
        <f t="shared" si="5"/>
        <v/>
      </c>
      <c r="J365" s="29"/>
      <c r="K365" s="29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4" t="str">
        <f>IF(ISNUMBER(MATCH(A365, 設定休日!$B$3:$B$50, 0)), 1, "")</f>
        <v/>
      </c>
      <c r="Z365" s="24"/>
      <c r="AA365" s="21"/>
      <c r="AB365" s="27"/>
      <c r="AC365" s="27"/>
      <c r="AD365" s="27"/>
      <c r="AE365" s="27"/>
      <c r="AF365" s="27"/>
      <c r="AG365" s="27"/>
      <c r="AH365" s="27"/>
      <c r="AI365" s="14" t="s">
        <v>41</v>
      </c>
      <c r="AJ365" s="9">
        <f>AM365-AM366+1</f>
        <v>30</v>
      </c>
      <c r="AK365" s="9">
        <f>AJ365</f>
        <v>30</v>
      </c>
      <c r="AM365" s="9">
        <f>MATCH(DATE($A$4,AI364,20),A:A,0)</f>
        <v>371</v>
      </c>
      <c r="AN365" s="9" t="s">
        <v>51</v>
      </c>
    </row>
    <row r="366" spans="1:40" x14ac:dyDescent="0.4">
      <c r="A366" s="28">
        <v>46371</v>
      </c>
      <c r="B366" s="28"/>
      <c r="C366" s="27"/>
      <c r="D366" s="27"/>
      <c r="E366" s="27"/>
      <c r="F366" s="27"/>
      <c r="G366" s="27"/>
      <c r="H366" s="27"/>
      <c r="I366" s="29" t="str">
        <f t="shared" si="5"/>
        <v/>
      </c>
      <c r="J366" s="29"/>
      <c r="K366" s="29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4" t="str">
        <f>IF(ISNUMBER(MATCH(A366, 設定休日!$B$3:$B$50, 0)), 1, "")</f>
        <v/>
      </c>
      <c r="Z366" s="24"/>
      <c r="AA366" s="21"/>
      <c r="AB366" s="27"/>
      <c r="AC366" s="27"/>
      <c r="AD366" s="27"/>
      <c r="AE366" s="27"/>
      <c r="AF366" s="27"/>
      <c r="AG366" s="27"/>
      <c r="AH366" s="27"/>
      <c r="AI366" s="9" t="s">
        <v>42</v>
      </c>
      <c r="AJ366" s="9" cm="1">
        <f t="array" aca="1" ref="AJ366" ca="1">AJ365-SUMPRODUCT(COUNTIF(INDIRECT("A"&amp;AM365&amp;":A"&amp;AM366),祝日!B306:B353))+SUMPRODUCT(COUNTIF(INDIRECT("A"&amp;AM365&amp;":A"&amp;AM366),設定休日!B306:B353))</f>
        <v>30</v>
      </c>
      <c r="AK366" s="9">
        <f ca="1">AJ366</f>
        <v>30</v>
      </c>
      <c r="AM366" s="9">
        <f>MATCH(DATE(IF(MONTH(A347)=12,$A$4-1,$A$4),MONTH(A347),21),A:A,0)</f>
        <v>342</v>
      </c>
      <c r="AN366" s="9" t="s">
        <v>52</v>
      </c>
    </row>
    <row r="367" spans="1:40" x14ac:dyDescent="0.4">
      <c r="A367" s="28">
        <v>46372</v>
      </c>
      <c r="B367" s="28"/>
      <c r="C367" s="27"/>
      <c r="D367" s="27"/>
      <c r="E367" s="27"/>
      <c r="F367" s="27"/>
      <c r="G367" s="27"/>
      <c r="H367" s="27"/>
      <c r="I367" s="29" t="str">
        <f t="shared" si="5"/>
        <v/>
      </c>
      <c r="J367" s="29"/>
      <c r="K367" s="29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4" t="str">
        <f>IF(ISNUMBER(MATCH(A367, 設定休日!$B$3:$B$50, 0)), 1, "")</f>
        <v/>
      </c>
      <c r="Z367" s="24"/>
      <c r="AA367" s="21"/>
      <c r="AB367" s="27"/>
      <c r="AC367" s="27"/>
      <c r="AD367" s="27"/>
      <c r="AE367" s="27"/>
      <c r="AF367" s="27"/>
      <c r="AG367" s="27"/>
      <c r="AH367" s="27"/>
      <c r="AI367" s="9" t="s">
        <v>43</v>
      </c>
      <c r="AJ367" s="12">
        <f ca="1">AJ366*TIME(7,0,0)</f>
        <v>8.75</v>
      </c>
      <c r="AM367" s="9" t="s">
        <v>54</v>
      </c>
      <c r="AN367" s="9" t="s">
        <v>55</v>
      </c>
    </row>
    <row r="368" spans="1:40" x14ac:dyDescent="0.4">
      <c r="A368" s="28">
        <v>46373</v>
      </c>
      <c r="B368" s="28"/>
      <c r="C368" s="27"/>
      <c r="D368" s="27"/>
      <c r="E368" s="27"/>
      <c r="F368" s="27"/>
      <c r="G368" s="27"/>
      <c r="H368" s="27"/>
      <c r="I368" s="29" t="str">
        <f t="shared" si="5"/>
        <v/>
      </c>
      <c r="J368" s="29"/>
      <c r="K368" s="29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4" t="str">
        <f>IF(ISNUMBER(MATCH(A368, 設定休日!$B$3:$B$50, 0)), 1, "")</f>
        <v/>
      </c>
      <c r="Z368" s="24"/>
      <c r="AA368" s="21"/>
      <c r="AB368" s="27"/>
      <c r="AC368" s="27"/>
      <c r="AD368" s="27"/>
      <c r="AE368" s="27"/>
      <c r="AF368" s="27"/>
      <c r="AG368" s="27"/>
      <c r="AH368" s="27"/>
      <c r="AI368" s="9" t="s">
        <v>44</v>
      </c>
      <c r="AJ368" s="12">
        <f ca="1">SUM(INDIRECT("I"&amp;AM365&amp;":I"&amp;AM366))</f>
        <v>0</v>
      </c>
      <c r="AN368" s="9" t="s">
        <v>59</v>
      </c>
    </row>
    <row r="369" spans="1:39" x14ac:dyDescent="0.4">
      <c r="A369" s="28">
        <v>46374</v>
      </c>
      <c r="B369" s="28"/>
      <c r="C369" s="27"/>
      <c r="D369" s="27"/>
      <c r="E369" s="27"/>
      <c r="F369" s="27"/>
      <c r="G369" s="27"/>
      <c r="H369" s="27"/>
      <c r="I369" s="29" t="str">
        <f t="shared" si="5"/>
        <v/>
      </c>
      <c r="J369" s="29"/>
      <c r="K369" s="29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4" t="str">
        <f>IF(ISNUMBER(MATCH(A369, 設定休日!$B$3:$B$50, 0)), 1, "")</f>
        <v/>
      </c>
      <c r="Z369" s="24"/>
      <c r="AA369" s="21"/>
      <c r="AB369" s="27"/>
      <c r="AC369" s="27"/>
      <c r="AD369" s="27"/>
      <c r="AE369" s="27"/>
      <c r="AF369" s="27"/>
      <c r="AG369" s="27"/>
      <c r="AH369" s="27"/>
      <c r="AI369" s="9" t="s">
        <v>49</v>
      </c>
      <c r="AJ369" s="12" t="str">
        <f ca="1">IF(AJ368-AJ367&lt;=0,"",AJ368-AJ367)</f>
        <v/>
      </c>
    </row>
    <row r="370" spans="1:39" x14ac:dyDescent="0.4">
      <c r="A370" s="28">
        <v>46375</v>
      </c>
      <c r="B370" s="28"/>
      <c r="C370" s="27"/>
      <c r="D370" s="27"/>
      <c r="E370" s="27"/>
      <c r="F370" s="27"/>
      <c r="G370" s="27"/>
      <c r="H370" s="27"/>
      <c r="I370" s="29" t="str">
        <f t="shared" si="5"/>
        <v/>
      </c>
      <c r="J370" s="29"/>
      <c r="K370" s="29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4" t="str">
        <f>IF(ISNUMBER(MATCH(A370, 設定休日!$B$3:$B$50, 0)), 1, "")</f>
        <v/>
      </c>
      <c r="Z370" s="24"/>
      <c r="AA370" s="21"/>
      <c r="AB370" s="27"/>
      <c r="AC370" s="27"/>
      <c r="AD370" s="27"/>
      <c r="AE370" s="27"/>
      <c r="AF370" s="27"/>
      <c r="AG370" s="27"/>
      <c r="AH370" s="27"/>
      <c r="AI370" s="9" t="s">
        <v>45</v>
      </c>
      <c r="AJ370" s="9">
        <f ca="1">COUNTA(INDIRECT("Z"&amp;AM365&amp;":Z"&amp;AM366))</f>
        <v>0</v>
      </c>
      <c r="AK370" s="9" cm="1">
        <f t="array" ref="AK370">SUMPRODUCT( --(Z341:Z716&lt;&gt;""))</f>
        <v>1</v>
      </c>
    </row>
    <row r="371" spans="1:39" ht="19.5" thickBot="1" x14ac:dyDescent="0.45">
      <c r="A371" s="34">
        <v>46376</v>
      </c>
      <c r="B371" s="34"/>
      <c r="C371" s="30"/>
      <c r="D371" s="30"/>
      <c r="E371" s="30"/>
      <c r="F371" s="30"/>
      <c r="G371" s="30"/>
      <c r="H371" s="30"/>
      <c r="I371" s="35" t="str">
        <f t="shared" si="5"/>
        <v/>
      </c>
      <c r="J371" s="35"/>
      <c r="K371" s="35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25" t="str">
        <f>IF(ISNUMBER(MATCH(A371, 設定休日!$B$3:$B$50, 0)), 1, "")</f>
        <v/>
      </c>
      <c r="Z371" s="25"/>
      <c r="AA371" s="23"/>
      <c r="AB371" s="30"/>
      <c r="AC371" s="30"/>
      <c r="AD371" s="30"/>
      <c r="AE371" s="30"/>
      <c r="AF371" s="30"/>
      <c r="AG371" s="30"/>
      <c r="AH371" s="30"/>
      <c r="AI371" s="10" t="s">
        <v>46</v>
      </c>
      <c r="AJ371" s="10">
        <f ca="1">SUM(INDIRECT("AA"&amp;AM365&amp;":AA"&amp;AM366))</f>
        <v>0</v>
      </c>
      <c r="AK371" s="10">
        <f>SUM(AA341:AA716)</f>
        <v>0</v>
      </c>
      <c r="AL371" s="10"/>
      <c r="AM371" s="10"/>
    </row>
    <row r="372" spans="1:39" x14ac:dyDescent="0.4">
      <c r="A372" s="31">
        <v>46377</v>
      </c>
      <c r="B372" s="31"/>
      <c r="C372" s="32"/>
      <c r="D372" s="32"/>
      <c r="E372" s="32"/>
      <c r="F372" s="32"/>
      <c r="G372" s="32"/>
      <c r="H372" s="32"/>
      <c r="I372" s="33" t="str">
        <f t="shared" si="5"/>
        <v/>
      </c>
      <c r="J372" s="33"/>
      <c r="K372" s="33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26" t="str">
        <f>IF(ISNUMBER(MATCH(A372, 設定休日!$B$3:$B$50, 0)), 1, "")</f>
        <v/>
      </c>
      <c r="Z372" s="26"/>
      <c r="AA372" s="22"/>
      <c r="AB372" s="32"/>
      <c r="AC372" s="32"/>
      <c r="AD372" s="32"/>
      <c r="AE372" s="32"/>
      <c r="AF372" s="32"/>
      <c r="AG372" s="32"/>
      <c r="AH372" s="32"/>
    </row>
    <row r="373" spans="1:39" x14ac:dyDescent="0.4">
      <c r="A373" s="28">
        <v>46378</v>
      </c>
      <c r="B373" s="28"/>
      <c r="C373" s="27"/>
      <c r="D373" s="27"/>
      <c r="E373" s="27"/>
      <c r="F373" s="27"/>
      <c r="G373" s="27"/>
      <c r="H373" s="27"/>
      <c r="I373" s="29" t="str">
        <f t="shared" si="5"/>
        <v/>
      </c>
      <c r="J373" s="29"/>
      <c r="K373" s="29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4" t="str">
        <f>IF(ISNUMBER(MATCH(A373, 設定休日!$B$3:$B$50, 0)), 1, "")</f>
        <v/>
      </c>
      <c r="Z373" s="24"/>
      <c r="AA373" s="21"/>
      <c r="AB373" s="27"/>
      <c r="AC373" s="27"/>
      <c r="AD373" s="27"/>
      <c r="AE373" s="27"/>
      <c r="AF373" s="27"/>
      <c r="AG373" s="27"/>
      <c r="AH373" s="27"/>
    </row>
    <row r="374" spans="1:39" x14ac:dyDescent="0.4">
      <c r="A374" s="28">
        <v>46379</v>
      </c>
      <c r="B374" s="28"/>
      <c r="C374" s="27"/>
      <c r="D374" s="27"/>
      <c r="E374" s="27"/>
      <c r="F374" s="27"/>
      <c r="G374" s="27"/>
      <c r="H374" s="27"/>
      <c r="I374" s="29" t="str">
        <f t="shared" si="5"/>
        <v/>
      </c>
      <c r="J374" s="29"/>
      <c r="K374" s="29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4" t="str">
        <f>IF(ISNUMBER(MATCH(A374, 設定休日!$B$3:$B$50, 0)), 1, "")</f>
        <v/>
      </c>
      <c r="Z374" s="24"/>
      <c r="AA374" s="21"/>
      <c r="AB374" s="27"/>
      <c r="AC374" s="27"/>
      <c r="AD374" s="27"/>
      <c r="AE374" s="27"/>
      <c r="AF374" s="27"/>
      <c r="AG374" s="27"/>
      <c r="AH374" s="27"/>
    </row>
    <row r="375" spans="1:39" x14ac:dyDescent="0.4">
      <c r="A375" s="28">
        <v>46380</v>
      </c>
      <c r="B375" s="28"/>
      <c r="C375" s="27"/>
      <c r="D375" s="27"/>
      <c r="E375" s="27"/>
      <c r="F375" s="27"/>
      <c r="G375" s="27"/>
      <c r="H375" s="27"/>
      <c r="I375" s="29" t="str">
        <f t="shared" si="5"/>
        <v/>
      </c>
      <c r="J375" s="29"/>
      <c r="K375" s="29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4" t="str">
        <f>IF(ISNUMBER(MATCH(A375, 設定休日!$B$3:$B$50, 0)), 1, "")</f>
        <v/>
      </c>
      <c r="Z375" s="24"/>
      <c r="AA375" s="21"/>
      <c r="AB375" s="27"/>
      <c r="AC375" s="27"/>
      <c r="AD375" s="27"/>
      <c r="AE375" s="27"/>
      <c r="AF375" s="27"/>
      <c r="AG375" s="27"/>
      <c r="AH375" s="27"/>
    </row>
    <row r="376" spans="1:39" x14ac:dyDescent="0.4">
      <c r="A376" s="28">
        <v>46381</v>
      </c>
      <c r="B376" s="28"/>
      <c r="C376" s="27"/>
      <c r="D376" s="27"/>
      <c r="E376" s="27"/>
      <c r="F376" s="27"/>
      <c r="G376" s="27"/>
      <c r="H376" s="27"/>
      <c r="I376" s="29" t="str">
        <f t="shared" si="5"/>
        <v/>
      </c>
      <c r="J376" s="29"/>
      <c r="K376" s="29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4" t="str">
        <f>IF(ISNUMBER(MATCH(A376, 設定休日!$B$3:$B$50, 0)), 1, "")</f>
        <v/>
      </c>
      <c r="Z376" s="24"/>
      <c r="AA376" s="21"/>
      <c r="AB376" s="27"/>
      <c r="AC376" s="27"/>
      <c r="AD376" s="27"/>
      <c r="AE376" s="27"/>
      <c r="AF376" s="27"/>
      <c r="AG376" s="27"/>
      <c r="AH376" s="27"/>
    </row>
    <row r="377" spans="1:39" x14ac:dyDescent="0.4">
      <c r="A377" s="28">
        <v>46382</v>
      </c>
      <c r="B377" s="28"/>
      <c r="C377" s="27"/>
      <c r="D377" s="27"/>
      <c r="E377" s="27"/>
      <c r="F377" s="27"/>
      <c r="G377" s="27"/>
      <c r="H377" s="27"/>
      <c r="I377" s="29" t="str">
        <f t="shared" si="5"/>
        <v/>
      </c>
      <c r="J377" s="29"/>
      <c r="K377" s="29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4" t="str">
        <f>IF(ISNUMBER(MATCH(A377, 設定休日!$B$3:$B$50, 0)), 1, "")</f>
        <v/>
      </c>
      <c r="Z377" s="24"/>
      <c r="AA377" s="21"/>
      <c r="AB377" s="27"/>
      <c r="AC377" s="27"/>
      <c r="AD377" s="27"/>
      <c r="AE377" s="27"/>
      <c r="AF377" s="27"/>
      <c r="AG377" s="27"/>
      <c r="AH377" s="27"/>
    </row>
    <row r="378" spans="1:39" x14ac:dyDescent="0.4">
      <c r="A378" s="28">
        <v>46383</v>
      </c>
      <c r="B378" s="28"/>
      <c r="C378" s="27"/>
      <c r="D378" s="27"/>
      <c r="E378" s="27"/>
      <c r="F378" s="27"/>
      <c r="G378" s="27"/>
      <c r="H378" s="27"/>
      <c r="I378" s="29" t="str">
        <f t="shared" si="5"/>
        <v/>
      </c>
      <c r="J378" s="29"/>
      <c r="K378" s="29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4" t="str">
        <f>IF(ISNUMBER(MATCH(A378, 設定休日!$B$3:$B$50, 0)), 1, "")</f>
        <v/>
      </c>
      <c r="Z378" s="24"/>
      <c r="AA378" s="21"/>
      <c r="AB378" s="27"/>
      <c r="AC378" s="27"/>
      <c r="AD378" s="27"/>
      <c r="AE378" s="27"/>
      <c r="AF378" s="27"/>
      <c r="AG378" s="27"/>
      <c r="AH378" s="27"/>
    </row>
    <row r="379" spans="1:39" x14ac:dyDescent="0.4">
      <c r="A379" s="28">
        <v>46384</v>
      </c>
      <c r="B379" s="28"/>
      <c r="C379" s="27"/>
      <c r="D379" s="27"/>
      <c r="E379" s="27"/>
      <c r="F379" s="27"/>
      <c r="G379" s="27"/>
      <c r="H379" s="27"/>
      <c r="I379" s="29" t="str">
        <f t="shared" si="5"/>
        <v/>
      </c>
      <c r="J379" s="29"/>
      <c r="K379" s="29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4">
        <f>IF(ISNUMBER(MATCH(A379, 設定休日!$B$3:$B$50, 0)), 1, "")</f>
        <v>1</v>
      </c>
      <c r="Z379" s="24"/>
      <c r="AA379" s="21"/>
      <c r="AB379" s="27"/>
      <c r="AC379" s="27"/>
      <c r="AD379" s="27"/>
      <c r="AE379" s="27"/>
      <c r="AF379" s="27"/>
      <c r="AG379" s="27"/>
      <c r="AH379" s="27"/>
    </row>
    <row r="380" spans="1:39" x14ac:dyDescent="0.4">
      <c r="A380" s="28">
        <v>46385</v>
      </c>
      <c r="B380" s="28"/>
      <c r="C380" s="27"/>
      <c r="D380" s="27"/>
      <c r="E380" s="27"/>
      <c r="F380" s="27"/>
      <c r="G380" s="27"/>
      <c r="H380" s="27"/>
      <c r="I380" s="29" t="str">
        <f t="shared" si="5"/>
        <v/>
      </c>
      <c r="J380" s="29"/>
      <c r="K380" s="29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4">
        <f>IF(ISNUMBER(MATCH(A380, 設定休日!$B$3:$B$50, 0)), 1, "")</f>
        <v>1</v>
      </c>
      <c r="Z380" s="24"/>
      <c r="AA380" s="21"/>
      <c r="AB380" s="27"/>
      <c r="AC380" s="27"/>
      <c r="AD380" s="27"/>
      <c r="AE380" s="27"/>
      <c r="AF380" s="27"/>
      <c r="AG380" s="27"/>
      <c r="AH380" s="27"/>
    </row>
    <row r="381" spans="1:39" x14ac:dyDescent="0.4">
      <c r="A381" s="28">
        <v>46386</v>
      </c>
      <c r="B381" s="28"/>
      <c r="C381" s="27"/>
      <c r="D381" s="27"/>
      <c r="E381" s="27"/>
      <c r="F381" s="27"/>
      <c r="G381" s="27"/>
      <c r="H381" s="27"/>
      <c r="I381" s="29" t="str">
        <f t="shared" si="5"/>
        <v/>
      </c>
      <c r="J381" s="29"/>
      <c r="K381" s="29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4">
        <f>IF(ISNUMBER(MATCH(A381, 設定休日!$B$3:$B$50, 0)), 1, "")</f>
        <v>1</v>
      </c>
      <c r="Z381" s="24"/>
      <c r="AA381" s="21"/>
      <c r="AB381" s="27"/>
      <c r="AC381" s="27"/>
      <c r="AD381" s="27"/>
      <c r="AE381" s="27"/>
      <c r="AF381" s="27"/>
      <c r="AG381" s="27"/>
      <c r="AH381" s="27"/>
    </row>
    <row r="382" spans="1:39" x14ac:dyDescent="0.4">
      <c r="A382" s="28">
        <v>46387</v>
      </c>
      <c r="B382" s="28"/>
      <c r="C382" s="27"/>
      <c r="D382" s="27"/>
      <c r="E382" s="27"/>
      <c r="F382" s="27"/>
      <c r="G382" s="27"/>
      <c r="H382" s="27"/>
      <c r="I382" s="29" t="str">
        <f t="shared" si="5"/>
        <v/>
      </c>
      <c r="J382" s="29"/>
      <c r="K382" s="29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4">
        <f>IF(ISNUMBER(MATCH(A382, 設定休日!$B$3:$B$50, 0)), 1, "")</f>
        <v>1</v>
      </c>
      <c r="Z382" s="24"/>
      <c r="AA382" s="21"/>
      <c r="AB382" s="27"/>
      <c r="AC382" s="27"/>
      <c r="AD382" s="27"/>
      <c r="AE382" s="27"/>
      <c r="AF382" s="27"/>
      <c r="AG382" s="27"/>
      <c r="AH382" s="27"/>
    </row>
    <row r="383" spans="1:39" x14ac:dyDescent="0.4">
      <c r="Y383" s="11">
        <v>1</v>
      </c>
      <c r="Z383" s="11">
        <v>1</v>
      </c>
    </row>
  </sheetData>
  <mergeCells count="2645">
    <mergeCell ref="O6:X6"/>
    <mergeCell ref="A1:AH2"/>
    <mergeCell ref="A4:E4"/>
    <mergeCell ref="O4:Q4"/>
    <mergeCell ref="R4:X4"/>
    <mergeCell ref="Y4:Z4"/>
    <mergeCell ref="AA4:AH4"/>
    <mergeCell ref="AB6:AH6"/>
    <mergeCell ref="A6:B6"/>
    <mergeCell ref="C6:E6"/>
    <mergeCell ref="F6:H6"/>
    <mergeCell ref="I6:K6"/>
    <mergeCell ref="L6:N6"/>
    <mergeCell ref="AB9:AH9"/>
    <mergeCell ref="A10:B10"/>
    <mergeCell ref="I10:K10"/>
    <mergeCell ref="L10:N10"/>
    <mergeCell ref="O10:X10"/>
    <mergeCell ref="AB10:AH10"/>
    <mergeCell ref="A9:B9"/>
    <mergeCell ref="I9:K9"/>
    <mergeCell ref="L9:N9"/>
    <mergeCell ref="O9:X9"/>
    <mergeCell ref="AB7:AH7"/>
    <mergeCell ref="A8:B8"/>
    <mergeCell ref="I8:K8"/>
    <mergeCell ref="C7:E7"/>
    <mergeCell ref="C8:E8"/>
    <mergeCell ref="C9:E9"/>
    <mergeCell ref="C10:E10"/>
    <mergeCell ref="F7:H7"/>
    <mergeCell ref="F8:H8"/>
    <mergeCell ref="L8:N8"/>
    <mergeCell ref="O8:X8"/>
    <mergeCell ref="AB8:AH8"/>
    <mergeCell ref="A7:B7"/>
    <mergeCell ref="I7:K7"/>
    <mergeCell ref="L7:N7"/>
    <mergeCell ref="O7:X7"/>
    <mergeCell ref="AB13:AH13"/>
    <mergeCell ref="A14:B14"/>
    <mergeCell ref="I14:K14"/>
    <mergeCell ref="L14:N14"/>
    <mergeCell ref="O14:X14"/>
    <mergeCell ref="AB14:AH14"/>
    <mergeCell ref="A13:B13"/>
    <mergeCell ref="I13:K13"/>
    <mergeCell ref="L13:N13"/>
    <mergeCell ref="O13:X13"/>
    <mergeCell ref="AB11:AH11"/>
    <mergeCell ref="A12:B12"/>
    <mergeCell ref="I12:K12"/>
    <mergeCell ref="L12:N12"/>
    <mergeCell ref="O12:X12"/>
    <mergeCell ref="AB12:AH12"/>
    <mergeCell ref="A11:B11"/>
    <mergeCell ref="C11:E11"/>
    <mergeCell ref="C12:E12"/>
    <mergeCell ref="C13:E13"/>
    <mergeCell ref="C14:E14"/>
    <mergeCell ref="F9:H9"/>
    <mergeCell ref="F10:H10"/>
    <mergeCell ref="F11:H11"/>
    <mergeCell ref="F12:H12"/>
    <mergeCell ref="I11:K11"/>
    <mergeCell ref="L11:N11"/>
    <mergeCell ref="O11:X11"/>
    <mergeCell ref="AB17:AH17"/>
    <mergeCell ref="A18:B18"/>
    <mergeCell ref="I18:K18"/>
    <mergeCell ref="L18:N18"/>
    <mergeCell ref="O18:X18"/>
    <mergeCell ref="AB18:AH18"/>
    <mergeCell ref="A17:B17"/>
    <mergeCell ref="I17:K17"/>
    <mergeCell ref="L17:N17"/>
    <mergeCell ref="O17:X17"/>
    <mergeCell ref="AB15:AH15"/>
    <mergeCell ref="A16:B16"/>
    <mergeCell ref="I16:K16"/>
    <mergeCell ref="L16:N16"/>
    <mergeCell ref="O16:X16"/>
    <mergeCell ref="AB16:AH16"/>
    <mergeCell ref="A15:B15"/>
    <mergeCell ref="I15:K15"/>
    <mergeCell ref="L15:N15"/>
    <mergeCell ref="C15:E15"/>
    <mergeCell ref="C16:E16"/>
    <mergeCell ref="C17:E17"/>
    <mergeCell ref="C18:E18"/>
    <mergeCell ref="F13:H13"/>
    <mergeCell ref="F14:H14"/>
    <mergeCell ref="F15:H15"/>
    <mergeCell ref="F16:H16"/>
    <mergeCell ref="F17:H17"/>
    <mergeCell ref="F18:H18"/>
    <mergeCell ref="O15:X15"/>
    <mergeCell ref="AB21:AH21"/>
    <mergeCell ref="A22:B22"/>
    <mergeCell ref="I22:K22"/>
    <mergeCell ref="L22:N22"/>
    <mergeCell ref="O22:X22"/>
    <mergeCell ref="AB22:AH22"/>
    <mergeCell ref="A21:B21"/>
    <mergeCell ref="I21:K21"/>
    <mergeCell ref="L21:N21"/>
    <mergeCell ref="O21:X21"/>
    <mergeCell ref="AB19:AH19"/>
    <mergeCell ref="A20:B20"/>
    <mergeCell ref="I20:K20"/>
    <mergeCell ref="L20:N20"/>
    <mergeCell ref="O20:X20"/>
    <mergeCell ref="AB20:AH20"/>
    <mergeCell ref="A19:B19"/>
    <mergeCell ref="I19:K19"/>
    <mergeCell ref="L19:N19"/>
    <mergeCell ref="O19:X19"/>
    <mergeCell ref="C19:E19"/>
    <mergeCell ref="C20:E20"/>
    <mergeCell ref="C21:E21"/>
    <mergeCell ref="C22:E22"/>
    <mergeCell ref="F19:H19"/>
    <mergeCell ref="F20:H20"/>
    <mergeCell ref="F21:H21"/>
    <mergeCell ref="F22:H22"/>
    <mergeCell ref="AB25:AH25"/>
    <mergeCell ref="A26:B26"/>
    <mergeCell ref="I26:K26"/>
    <mergeCell ref="L26:N26"/>
    <mergeCell ref="O26:X26"/>
    <mergeCell ref="AB26:AH26"/>
    <mergeCell ref="A25:B25"/>
    <mergeCell ref="I25:K25"/>
    <mergeCell ref="L25:N25"/>
    <mergeCell ref="O25:X25"/>
    <mergeCell ref="AB23:AH23"/>
    <mergeCell ref="A24:B24"/>
    <mergeCell ref="I24:K24"/>
    <mergeCell ref="L24:N24"/>
    <mergeCell ref="O24:X24"/>
    <mergeCell ref="AB24:AH24"/>
    <mergeCell ref="A23:B23"/>
    <mergeCell ref="I23:K23"/>
    <mergeCell ref="L23:N23"/>
    <mergeCell ref="O23:X23"/>
    <mergeCell ref="C23:E23"/>
    <mergeCell ref="C24:E24"/>
    <mergeCell ref="C25:E25"/>
    <mergeCell ref="C26:E26"/>
    <mergeCell ref="F23:H23"/>
    <mergeCell ref="F24:H24"/>
    <mergeCell ref="F25:H25"/>
    <mergeCell ref="F26:H26"/>
    <mergeCell ref="AB29:AH29"/>
    <mergeCell ref="A30:B30"/>
    <mergeCell ref="I30:K30"/>
    <mergeCell ref="L30:N30"/>
    <mergeCell ref="O30:X30"/>
    <mergeCell ref="AB30:AH30"/>
    <mergeCell ref="A29:B29"/>
    <mergeCell ref="I29:K29"/>
    <mergeCell ref="L29:N29"/>
    <mergeCell ref="O29:X29"/>
    <mergeCell ref="AB27:AH27"/>
    <mergeCell ref="A28:B28"/>
    <mergeCell ref="I28:K28"/>
    <mergeCell ref="L28:N28"/>
    <mergeCell ref="O28:X28"/>
    <mergeCell ref="AB28:AH28"/>
    <mergeCell ref="A27:B27"/>
    <mergeCell ref="I27:K27"/>
    <mergeCell ref="L27:N27"/>
    <mergeCell ref="O27:X27"/>
    <mergeCell ref="C27:E27"/>
    <mergeCell ref="C28:E28"/>
    <mergeCell ref="C29:E29"/>
    <mergeCell ref="C30:E30"/>
    <mergeCell ref="F27:H27"/>
    <mergeCell ref="F28:H28"/>
    <mergeCell ref="F29:H29"/>
    <mergeCell ref="F30:H30"/>
    <mergeCell ref="AB33:AH33"/>
    <mergeCell ref="A34:B34"/>
    <mergeCell ref="I34:K34"/>
    <mergeCell ref="L34:N34"/>
    <mergeCell ref="O34:X34"/>
    <mergeCell ref="AB34:AH34"/>
    <mergeCell ref="A33:B33"/>
    <mergeCell ref="I33:K33"/>
    <mergeCell ref="L33:N33"/>
    <mergeCell ref="O33:X33"/>
    <mergeCell ref="AB31:AH31"/>
    <mergeCell ref="A32:B32"/>
    <mergeCell ref="I32:K32"/>
    <mergeCell ref="L32:N32"/>
    <mergeCell ref="O32:X32"/>
    <mergeCell ref="AB32:AH32"/>
    <mergeCell ref="A31:B31"/>
    <mergeCell ref="I31:K31"/>
    <mergeCell ref="L31:N31"/>
    <mergeCell ref="O31:X31"/>
    <mergeCell ref="C31:E31"/>
    <mergeCell ref="C32:E32"/>
    <mergeCell ref="C33:E33"/>
    <mergeCell ref="C34:E34"/>
    <mergeCell ref="F31:H31"/>
    <mergeCell ref="F32:H32"/>
    <mergeCell ref="F33:H33"/>
    <mergeCell ref="F34:H34"/>
    <mergeCell ref="AB37:AH37"/>
    <mergeCell ref="A38:B38"/>
    <mergeCell ref="I38:K38"/>
    <mergeCell ref="L38:N38"/>
    <mergeCell ref="O38:X38"/>
    <mergeCell ref="AB38:AH38"/>
    <mergeCell ref="A37:B37"/>
    <mergeCell ref="I37:K37"/>
    <mergeCell ref="L37:N37"/>
    <mergeCell ref="O37:X37"/>
    <mergeCell ref="AB35:AH35"/>
    <mergeCell ref="A36:B36"/>
    <mergeCell ref="I36:K36"/>
    <mergeCell ref="L36:N36"/>
    <mergeCell ref="O36:X36"/>
    <mergeCell ref="AB36:AH36"/>
    <mergeCell ref="A35:B35"/>
    <mergeCell ref="I35:K35"/>
    <mergeCell ref="L35:N35"/>
    <mergeCell ref="O35:X35"/>
    <mergeCell ref="C35:E35"/>
    <mergeCell ref="C36:E36"/>
    <mergeCell ref="C37:E37"/>
    <mergeCell ref="C38:E38"/>
    <mergeCell ref="F35:H35"/>
    <mergeCell ref="F36:H36"/>
    <mergeCell ref="F37:H37"/>
    <mergeCell ref="F38:H38"/>
    <mergeCell ref="AB41:AH41"/>
    <mergeCell ref="A42:B42"/>
    <mergeCell ref="I42:K42"/>
    <mergeCell ref="L42:N42"/>
    <mergeCell ref="O42:X42"/>
    <mergeCell ref="AB42:AH42"/>
    <mergeCell ref="A41:B41"/>
    <mergeCell ref="I41:K41"/>
    <mergeCell ref="L41:N41"/>
    <mergeCell ref="O41:X41"/>
    <mergeCell ref="AB39:AH39"/>
    <mergeCell ref="A40:B40"/>
    <mergeCell ref="I40:K40"/>
    <mergeCell ref="L40:N40"/>
    <mergeCell ref="O40:X40"/>
    <mergeCell ref="AB40:AH40"/>
    <mergeCell ref="A39:B39"/>
    <mergeCell ref="I39:K39"/>
    <mergeCell ref="L39:N39"/>
    <mergeCell ref="O39:X39"/>
    <mergeCell ref="C39:E39"/>
    <mergeCell ref="C40:E40"/>
    <mergeCell ref="C41:E41"/>
    <mergeCell ref="C42:E42"/>
    <mergeCell ref="F39:H39"/>
    <mergeCell ref="F40:H40"/>
    <mergeCell ref="F41:H41"/>
    <mergeCell ref="F42:H42"/>
    <mergeCell ref="AB45:AH45"/>
    <mergeCell ref="A46:B46"/>
    <mergeCell ref="I46:K46"/>
    <mergeCell ref="L46:N46"/>
    <mergeCell ref="O46:X46"/>
    <mergeCell ref="AB46:AH46"/>
    <mergeCell ref="A45:B45"/>
    <mergeCell ref="I45:K45"/>
    <mergeCell ref="L45:N45"/>
    <mergeCell ref="O45:X45"/>
    <mergeCell ref="AB43:AH43"/>
    <mergeCell ref="A44:B44"/>
    <mergeCell ref="I44:K44"/>
    <mergeCell ref="L44:N44"/>
    <mergeCell ref="O44:X44"/>
    <mergeCell ref="AB44:AH44"/>
    <mergeCell ref="A43:B43"/>
    <mergeCell ref="I43:K43"/>
    <mergeCell ref="L43:N43"/>
    <mergeCell ref="O43:X43"/>
    <mergeCell ref="C43:E43"/>
    <mergeCell ref="C44:E44"/>
    <mergeCell ref="C45:E45"/>
    <mergeCell ref="C46:E46"/>
    <mergeCell ref="F43:H43"/>
    <mergeCell ref="F44:H44"/>
    <mergeCell ref="F45:H45"/>
    <mergeCell ref="F46:H46"/>
    <mergeCell ref="AB49:AH49"/>
    <mergeCell ref="A50:B50"/>
    <mergeCell ref="I50:K50"/>
    <mergeCell ref="L50:N50"/>
    <mergeCell ref="O50:X50"/>
    <mergeCell ref="AB50:AH50"/>
    <mergeCell ref="A49:B49"/>
    <mergeCell ref="I49:K49"/>
    <mergeCell ref="L49:N49"/>
    <mergeCell ref="O49:X49"/>
    <mergeCell ref="AB47:AH47"/>
    <mergeCell ref="A48:B48"/>
    <mergeCell ref="I48:K48"/>
    <mergeCell ref="L48:N48"/>
    <mergeCell ref="O48:X48"/>
    <mergeCell ref="AB48:AH48"/>
    <mergeCell ref="A47:B47"/>
    <mergeCell ref="I47:K47"/>
    <mergeCell ref="L47:N47"/>
    <mergeCell ref="O47:X47"/>
    <mergeCell ref="C47:E47"/>
    <mergeCell ref="C48:E48"/>
    <mergeCell ref="C49:E49"/>
    <mergeCell ref="C50:E50"/>
    <mergeCell ref="F47:H47"/>
    <mergeCell ref="F48:H48"/>
    <mergeCell ref="F49:H49"/>
    <mergeCell ref="F50:H50"/>
    <mergeCell ref="AB53:AH53"/>
    <mergeCell ref="A54:B54"/>
    <mergeCell ref="I54:K54"/>
    <mergeCell ref="L54:N54"/>
    <mergeCell ref="O54:X54"/>
    <mergeCell ref="AB54:AH54"/>
    <mergeCell ref="A53:B53"/>
    <mergeCell ref="I53:K53"/>
    <mergeCell ref="L53:N53"/>
    <mergeCell ref="O53:X53"/>
    <mergeCell ref="AB51:AH51"/>
    <mergeCell ref="A52:B52"/>
    <mergeCell ref="I52:K52"/>
    <mergeCell ref="L52:N52"/>
    <mergeCell ref="O52:X52"/>
    <mergeCell ref="AB52:AH52"/>
    <mergeCell ref="A51:B51"/>
    <mergeCell ref="I51:K51"/>
    <mergeCell ref="L51:N51"/>
    <mergeCell ref="O51:X51"/>
    <mergeCell ref="C51:E51"/>
    <mergeCell ref="C52:E52"/>
    <mergeCell ref="C53:E53"/>
    <mergeCell ref="C54:E54"/>
    <mergeCell ref="F51:H51"/>
    <mergeCell ref="F52:H52"/>
    <mergeCell ref="F53:H53"/>
    <mergeCell ref="F54:H54"/>
    <mergeCell ref="AB57:AH57"/>
    <mergeCell ref="A58:B58"/>
    <mergeCell ref="I58:K58"/>
    <mergeCell ref="L58:N58"/>
    <mergeCell ref="O58:X58"/>
    <mergeCell ref="AB58:AH58"/>
    <mergeCell ref="A57:B57"/>
    <mergeCell ref="I57:K57"/>
    <mergeCell ref="L57:N57"/>
    <mergeCell ref="O57:X57"/>
    <mergeCell ref="AB55:AH55"/>
    <mergeCell ref="A56:B56"/>
    <mergeCell ref="I56:K56"/>
    <mergeCell ref="L56:N56"/>
    <mergeCell ref="O56:X56"/>
    <mergeCell ref="AB56:AH56"/>
    <mergeCell ref="A55:B55"/>
    <mergeCell ref="I55:K55"/>
    <mergeCell ref="L55:N55"/>
    <mergeCell ref="O55:X55"/>
    <mergeCell ref="C55:E55"/>
    <mergeCell ref="C56:E56"/>
    <mergeCell ref="C57:E57"/>
    <mergeCell ref="C58:E58"/>
    <mergeCell ref="F55:H55"/>
    <mergeCell ref="F56:H56"/>
    <mergeCell ref="F57:H57"/>
    <mergeCell ref="F58:H58"/>
    <mergeCell ref="AB61:AH61"/>
    <mergeCell ref="A62:B62"/>
    <mergeCell ref="I62:K62"/>
    <mergeCell ref="L62:N62"/>
    <mergeCell ref="O62:X62"/>
    <mergeCell ref="AB62:AH62"/>
    <mergeCell ref="A61:B61"/>
    <mergeCell ref="I61:K61"/>
    <mergeCell ref="L61:N61"/>
    <mergeCell ref="O61:X61"/>
    <mergeCell ref="AB59:AH59"/>
    <mergeCell ref="A60:B60"/>
    <mergeCell ref="I60:K60"/>
    <mergeCell ref="L60:N60"/>
    <mergeCell ref="O60:X60"/>
    <mergeCell ref="AB60:AH60"/>
    <mergeCell ref="A59:B59"/>
    <mergeCell ref="I59:K59"/>
    <mergeCell ref="L59:N59"/>
    <mergeCell ref="O59:X59"/>
    <mergeCell ref="C59:E59"/>
    <mergeCell ref="C60:E60"/>
    <mergeCell ref="C61:E61"/>
    <mergeCell ref="C62:E62"/>
    <mergeCell ref="F59:H59"/>
    <mergeCell ref="F60:H60"/>
    <mergeCell ref="F61:H61"/>
    <mergeCell ref="F62:H62"/>
    <mergeCell ref="AB65:AH65"/>
    <mergeCell ref="A66:B66"/>
    <mergeCell ref="I66:K66"/>
    <mergeCell ref="L66:N66"/>
    <mergeCell ref="O66:X66"/>
    <mergeCell ref="AB66:AH66"/>
    <mergeCell ref="A65:B65"/>
    <mergeCell ref="I65:K65"/>
    <mergeCell ref="L65:N65"/>
    <mergeCell ref="O65:X65"/>
    <mergeCell ref="AB63:AH63"/>
    <mergeCell ref="A64:B64"/>
    <mergeCell ref="I64:K64"/>
    <mergeCell ref="L64:N64"/>
    <mergeCell ref="O64:X64"/>
    <mergeCell ref="AB64:AH64"/>
    <mergeCell ref="A63:B63"/>
    <mergeCell ref="I63:K63"/>
    <mergeCell ref="L63:N63"/>
    <mergeCell ref="O63:X63"/>
    <mergeCell ref="C63:E63"/>
    <mergeCell ref="C64:E64"/>
    <mergeCell ref="C65:E65"/>
    <mergeCell ref="C66:E66"/>
    <mergeCell ref="F63:H63"/>
    <mergeCell ref="F64:H64"/>
    <mergeCell ref="F65:H65"/>
    <mergeCell ref="F66:H66"/>
    <mergeCell ref="AB69:AH69"/>
    <mergeCell ref="A70:B70"/>
    <mergeCell ref="I70:K70"/>
    <mergeCell ref="L70:N70"/>
    <mergeCell ref="O70:X70"/>
    <mergeCell ref="AB70:AH70"/>
    <mergeCell ref="A69:B69"/>
    <mergeCell ref="I69:K69"/>
    <mergeCell ref="L69:N69"/>
    <mergeCell ref="O69:X69"/>
    <mergeCell ref="AB67:AH67"/>
    <mergeCell ref="A68:B68"/>
    <mergeCell ref="I68:K68"/>
    <mergeCell ref="L68:N68"/>
    <mergeCell ref="O68:X68"/>
    <mergeCell ref="AB68:AH68"/>
    <mergeCell ref="A67:B67"/>
    <mergeCell ref="I67:K67"/>
    <mergeCell ref="L67:N67"/>
    <mergeCell ref="O67:X67"/>
    <mergeCell ref="C67:E67"/>
    <mergeCell ref="C68:E68"/>
    <mergeCell ref="C69:E69"/>
    <mergeCell ref="C70:E70"/>
    <mergeCell ref="F67:H67"/>
    <mergeCell ref="F68:H68"/>
    <mergeCell ref="F69:H69"/>
    <mergeCell ref="F70:H70"/>
    <mergeCell ref="AB73:AH73"/>
    <mergeCell ref="A74:B74"/>
    <mergeCell ref="I74:K74"/>
    <mergeCell ref="L74:N74"/>
    <mergeCell ref="O74:X74"/>
    <mergeCell ref="AB74:AH74"/>
    <mergeCell ref="A73:B73"/>
    <mergeCell ref="I73:K73"/>
    <mergeCell ref="L73:N73"/>
    <mergeCell ref="O73:X73"/>
    <mergeCell ref="AB71:AH71"/>
    <mergeCell ref="A72:B72"/>
    <mergeCell ref="I72:K72"/>
    <mergeCell ref="L72:N72"/>
    <mergeCell ref="O72:X72"/>
    <mergeCell ref="AB72:AH72"/>
    <mergeCell ref="A71:B71"/>
    <mergeCell ref="I71:K71"/>
    <mergeCell ref="L71:N71"/>
    <mergeCell ref="O71:X71"/>
    <mergeCell ref="C71:E71"/>
    <mergeCell ref="C72:E72"/>
    <mergeCell ref="C73:E73"/>
    <mergeCell ref="C74:E74"/>
    <mergeCell ref="F71:H71"/>
    <mergeCell ref="F72:H72"/>
    <mergeCell ref="F73:H73"/>
    <mergeCell ref="F74:H74"/>
    <mergeCell ref="AB77:AH77"/>
    <mergeCell ref="A78:B78"/>
    <mergeCell ref="I78:K78"/>
    <mergeCell ref="L78:N78"/>
    <mergeCell ref="O78:X78"/>
    <mergeCell ref="AB78:AH78"/>
    <mergeCell ref="A77:B77"/>
    <mergeCell ref="I77:K77"/>
    <mergeCell ref="L77:N77"/>
    <mergeCell ref="O77:X77"/>
    <mergeCell ref="AB75:AH75"/>
    <mergeCell ref="A76:B76"/>
    <mergeCell ref="I76:K76"/>
    <mergeCell ref="L76:N76"/>
    <mergeCell ref="O76:X76"/>
    <mergeCell ref="AB76:AH76"/>
    <mergeCell ref="A75:B75"/>
    <mergeCell ref="I75:K75"/>
    <mergeCell ref="L75:N75"/>
    <mergeCell ref="O75:X75"/>
    <mergeCell ref="C75:E75"/>
    <mergeCell ref="C76:E76"/>
    <mergeCell ref="C77:E77"/>
    <mergeCell ref="C78:E78"/>
    <mergeCell ref="F75:H75"/>
    <mergeCell ref="F76:H76"/>
    <mergeCell ref="F77:H77"/>
    <mergeCell ref="F78:H78"/>
    <mergeCell ref="AB81:AH81"/>
    <mergeCell ref="A82:B82"/>
    <mergeCell ref="I82:K82"/>
    <mergeCell ref="L82:N82"/>
    <mergeCell ref="O82:X82"/>
    <mergeCell ref="AB82:AH82"/>
    <mergeCell ref="A81:B81"/>
    <mergeCell ref="I81:K81"/>
    <mergeCell ref="L81:N81"/>
    <mergeCell ref="O81:X81"/>
    <mergeCell ref="AB79:AH79"/>
    <mergeCell ref="A80:B80"/>
    <mergeCell ref="I80:K80"/>
    <mergeCell ref="L80:N80"/>
    <mergeCell ref="O80:X80"/>
    <mergeCell ref="AB80:AH80"/>
    <mergeCell ref="A79:B79"/>
    <mergeCell ref="I79:K79"/>
    <mergeCell ref="L79:N79"/>
    <mergeCell ref="O79:X79"/>
    <mergeCell ref="C79:E79"/>
    <mergeCell ref="C80:E80"/>
    <mergeCell ref="C81:E81"/>
    <mergeCell ref="C82:E82"/>
    <mergeCell ref="F79:H79"/>
    <mergeCell ref="F80:H80"/>
    <mergeCell ref="F81:H81"/>
    <mergeCell ref="F82:H82"/>
    <mergeCell ref="AB85:AH85"/>
    <mergeCell ref="A86:B86"/>
    <mergeCell ref="I86:K86"/>
    <mergeCell ref="L86:N86"/>
    <mergeCell ref="O86:X86"/>
    <mergeCell ref="AB86:AH86"/>
    <mergeCell ref="A85:B85"/>
    <mergeCell ref="I85:K85"/>
    <mergeCell ref="L85:N85"/>
    <mergeCell ref="O85:X85"/>
    <mergeCell ref="AB83:AH83"/>
    <mergeCell ref="A84:B84"/>
    <mergeCell ref="I84:K84"/>
    <mergeCell ref="L84:N84"/>
    <mergeCell ref="O84:X84"/>
    <mergeCell ref="AB84:AH84"/>
    <mergeCell ref="A83:B83"/>
    <mergeCell ref="I83:K83"/>
    <mergeCell ref="L83:N83"/>
    <mergeCell ref="O83:X83"/>
    <mergeCell ref="C83:E83"/>
    <mergeCell ref="C84:E84"/>
    <mergeCell ref="C85:E85"/>
    <mergeCell ref="C86:E86"/>
    <mergeCell ref="F83:H83"/>
    <mergeCell ref="F84:H84"/>
    <mergeCell ref="F85:H85"/>
    <mergeCell ref="F86:H86"/>
    <mergeCell ref="AB89:AH89"/>
    <mergeCell ref="A90:B90"/>
    <mergeCell ref="I90:K90"/>
    <mergeCell ref="L90:N90"/>
    <mergeCell ref="O90:X90"/>
    <mergeCell ref="AB90:AH90"/>
    <mergeCell ref="A89:B89"/>
    <mergeCell ref="I89:K89"/>
    <mergeCell ref="L89:N89"/>
    <mergeCell ref="O89:X89"/>
    <mergeCell ref="AB87:AH87"/>
    <mergeCell ref="A88:B88"/>
    <mergeCell ref="I88:K88"/>
    <mergeCell ref="L88:N88"/>
    <mergeCell ref="O88:X88"/>
    <mergeCell ref="AB88:AH88"/>
    <mergeCell ref="A87:B87"/>
    <mergeCell ref="I87:K87"/>
    <mergeCell ref="L87:N87"/>
    <mergeCell ref="O87:X87"/>
    <mergeCell ref="C87:E87"/>
    <mergeCell ref="C88:E88"/>
    <mergeCell ref="C89:E89"/>
    <mergeCell ref="C90:E90"/>
    <mergeCell ref="F87:H87"/>
    <mergeCell ref="F88:H88"/>
    <mergeCell ref="F89:H89"/>
    <mergeCell ref="F90:H90"/>
    <mergeCell ref="AB93:AH93"/>
    <mergeCell ref="A94:B94"/>
    <mergeCell ref="I94:K94"/>
    <mergeCell ref="L94:N94"/>
    <mergeCell ref="O94:X94"/>
    <mergeCell ref="AB94:AH94"/>
    <mergeCell ref="A93:B93"/>
    <mergeCell ref="I93:K93"/>
    <mergeCell ref="L93:N93"/>
    <mergeCell ref="O93:X93"/>
    <mergeCell ref="AB91:AH91"/>
    <mergeCell ref="A92:B92"/>
    <mergeCell ref="I92:K92"/>
    <mergeCell ref="L92:N92"/>
    <mergeCell ref="O92:X92"/>
    <mergeCell ref="AB92:AH92"/>
    <mergeCell ref="A91:B91"/>
    <mergeCell ref="I91:K91"/>
    <mergeCell ref="L91:N91"/>
    <mergeCell ref="O91:X91"/>
    <mergeCell ref="C91:E91"/>
    <mergeCell ref="C92:E92"/>
    <mergeCell ref="C93:E93"/>
    <mergeCell ref="C94:E94"/>
    <mergeCell ref="F91:H91"/>
    <mergeCell ref="F92:H92"/>
    <mergeCell ref="F93:H93"/>
    <mergeCell ref="F94:H94"/>
    <mergeCell ref="AB97:AH97"/>
    <mergeCell ref="A98:B98"/>
    <mergeCell ref="I98:K98"/>
    <mergeCell ref="L98:N98"/>
    <mergeCell ref="O98:X98"/>
    <mergeCell ref="AB98:AH98"/>
    <mergeCell ref="A97:B97"/>
    <mergeCell ref="I97:K97"/>
    <mergeCell ref="L97:N97"/>
    <mergeCell ref="O97:X97"/>
    <mergeCell ref="AB95:AH95"/>
    <mergeCell ref="A96:B96"/>
    <mergeCell ref="I96:K96"/>
    <mergeCell ref="L96:N96"/>
    <mergeCell ref="O96:X96"/>
    <mergeCell ref="AB96:AH96"/>
    <mergeCell ref="A95:B95"/>
    <mergeCell ref="I95:K95"/>
    <mergeCell ref="L95:N95"/>
    <mergeCell ref="O95:X95"/>
    <mergeCell ref="C95:E95"/>
    <mergeCell ref="C96:E96"/>
    <mergeCell ref="C97:E97"/>
    <mergeCell ref="C98:E98"/>
    <mergeCell ref="F95:H95"/>
    <mergeCell ref="F96:H96"/>
    <mergeCell ref="F97:H97"/>
    <mergeCell ref="F98:H98"/>
    <mergeCell ref="AB101:AH101"/>
    <mergeCell ref="A102:B102"/>
    <mergeCell ref="I102:K102"/>
    <mergeCell ref="L102:N102"/>
    <mergeCell ref="O102:X102"/>
    <mergeCell ref="AB102:AH102"/>
    <mergeCell ref="A101:B101"/>
    <mergeCell ref="I101:K101"/>
    <mergeCell ref="L101:N101"/>
    <mergeCell ref="O101:X101"/>
    <mergeCell ref="AB99:AH99"/>
    <mergeCell ref="A100:B100"/>
    <mergeCell ref="I100:K100"/>
    <mergeCell ref="L100:N100"/>
    <mergeCell ref="O100:X100"/>
    <mergeCell ref="AB100:AH100"/>
    <mergeCell ref="A99:B99"/>
    <mergeCell ref="I99:K99"/>
    <mergeCell ref="L99:N99"/>
    <mergeCell ref="O99:X99"/>
    <mergeCell ref="C99:E99"/>
    <mergeCell ref="C100:E100"/>
    <mergeCell ref="C101:E101"/>
    <mergeCell ref="C102:E102"/>
    <mergeCell ref="F99:H99"/>
    <mergeCell ref="F100:H100"/>
    <mergeCell ref="F101:H101"/>
    <mergeCell ref="F102:H102"/>
    <mergeCell ref="AB105:AH105"/>
    <mergeCell ref="A106:B106"/>
    <mergeCell ref="C106:E106"/>
    <mergeCell ref="I106:K106"/>
    <mergeCell ref="L106:N106"/>
    <mergeCell ref="O106:X106"/>
    <mergeCell ref="AB106:AH106"/>
    <mergeCell ref="A105:B105"/>
    <mergeCell ref="I105:K105"/>
    <mergeCell ref="L105:N105"/>
    <mergeCell ref="O105:X105"/>
    <mergeCell ref="AB103:AH103"/>
    <mergeCell ref="A104:B104"/>
    <mergeCell ref="I104:K104"/>
    <mergeCell ref="L104:N104"/>
    <mergeCell ref="O104:X104"/>
    <mergeCell ref="AB104:AH104"/>
    <mergeCell ref="A103:B103"/>
    <mergeCell ref="I103:K103"/>
    <mergeCell ref="L103:N103"/>
    <mergeCell ref="O103:X103"/>
    <mergeCell ref="C103:E103"/>
    <mergeCell ref="C104:E104"/>
    <mergeCell ref="C105:E105"/>
    <mergeCell ref="F103:H103"/>
    <mergeCell ref="F104:H104"/>
    <mergeCell ref="F105:H105"/>
    <mergeCell ref="F106:H106"/>
    <mergeCell ref="AB109:AH109"/>
    <mergeCell ref="A110:B110"/>
    <mergeCell ref="C110:E110"/>
    <mergeCell ref="I110:K110"/>
    <mergeCell ref="L110:N110"/>
    <mergeCell ref="O110:X110"/>
    <mergeCell ref="AB110:AH110"/>
    <mergeCell ref="A109:B109"/>
    <mergeCell ref="C109:E109"/>
    <mergeCell ref="I109:K109"/>
    <mergeCell ref="L109:N109"/>
    <mergeCell ref="O109:X109"/>
    <mergeCell ref="AB107:AH107"/>
    <mergeCell ref="A108:B108"/>
    <mergeCell ref="C108:E108"/>
    <mergeCell ref="I108:K108"/>
    <mergeCell ref="L108:N108"/>
    <mergeCell ref="O108:X108"/>
    <mergeCell ref="AB108:AH108"/>
    <mergeCell ref="A107:B107"/>
    <mergeCell ref="C107:E107"/>
    <mergeCell ref="I107:K107"/>
    <mergeCell ref="L107:N107"/>
    <mergeCell ref="O107:X107"/>
    <mergeCell ref="F107:H107"/>
    <mergeCell ref="F108:H108"/>
    <mergeCell ref="F109:H109"/>
    <mergeCell ref="F110:H110"/>
    <mergeCell ref="AB113:AH113"/>
    <mergeCell ref="A114:B114"/>
    <mergeCell ref="C114:E114"/>
    <mergeCell ref="I114:K114"/>
    <mergeCell ref="L114:N114"/>
    <mergeCell ref="O114:X114"/>
    <mergeCell ref="AB114:AH114"/>
    <mergeCell ref="A113:B113"/>
    <mergeCell ref="C113:E113"/>
    <mergeCell ref="I113:K113"/>
    <mergeCell ref="L113:N113"/>
    <mergeCell ref="O113:X113"/>
    <mergeCell ref="AB111:AH111"/>
    <mergeCell ref="A112:B112"/>
    <mergeCell ref="C112:E112"/>
    <mergeCell ref="I112:K112"/>
    <mergeCell ref="L112:N112"/>
    <mergeCell ref="O112:X112"/>
    <mergeCell ref="AB112:AH112"/>
    <mergeCell ref="A111:B111"/>
    <mergeCell ref="C111:E111"/>
    <mergeCell ref="I111:K111"/>
    <mergeCell ref="L111:N111"/>
    <mergeCell ref="O111:X111"/>
    <mergeCell ref="F111:H111"/>
    <mergeCell ref="F112:H112"/>
    <mergeCell ref="F113:H113"/>
    <mergeCell ref="F114:H114"/>
    <mergeCell ref="AB117:AH117"/>
    <mergeCell ref="A118:B118"/>
    <mergeCell ref="C118:E118"/>
    <mergeCell ref="I118:K118"/>
    <mergeCell ref="L118:N118"/>
    <mergeCell ref="O118:X118"/>
    <mergeCell ref="AB118:AH118"/>
    <mergeCell ref="A117:B117"/>
    <mergeCell ref="C117:E117"/>
    <mergeCell ref="I117:K117"/>
    <mergeCell ref="L117:N117"/>
    <mergeCell ref="O117:X117"/>
    <mergeCell ref="AB115:AH115"/>
    <mergeCell ref="A116:B116"/>
    <mergeCell ref="C116:E116"/>
    <mergeCell ref="I116:K116"/>
    <mergeCell ref="L116:N116"/>
    <mergeCell ref="O116:X116"/>
    <mergeCell ref="AB116:AH116"/>
    <mergeCell ref="A115:B115"/>
    <mergeCell ref="C115:E115"/>
    <mergeCell ref="I115:K115"/>
    <mergeCell ref="L115:N115"/>
    <mergeCell ref="O115:X115"/>
    <mergeCell ref="F115:H115"/>
    <mergeCell ref="F116:H116"/>
    <mergeCell ref="F117:H117"/>
    <mergeCell ref="F118:H118"/>
    <mergeCell ref="AB121:AH121"/>
    <mergeCell ref="A122:B122"/>
    <mergeCell ref="C122:E122"/>
    <mergeCell ref="I122:K122"/>
    <mergeCell ref="L122:N122"/>
    <mergeCell ref="O122:X122"/>
    <mergeCell ref="AB122:AH122"/>
    <mergeCell ref="A121:B121"/>
    <mergeCell ref="C121:E121"/>
    <mergeCell ref="I121:K121"/>
    <mergeCell ref="L121:N121"/>
    <mergeCell ref="O121:X121"/>
    <mergeCell ref="AB119:AH119"/>
    <mergeCell ref="A120:B120"/>
    <mergeCell ref="C120:E120"/>
    <mergeCell ref="I120:K120"/>
    <mergeCell ref="L120:N120"/>
    <mergeCell ref="O120:X120"/>
    <mergeCell ref="AB120:AH120"/>
    <mergeCell ref="A119:B119"/>
    <mergeCell ref="C119:E119"/>
    <mergeCell ref="I119:K119"/>
    <mergeCell ref="L119:N119"/>
    <mergeCell ref="O119:X119"/>
    <mergeCell ref="F119:H119"/>
    <mergeCell ref="F120:H120"/>
    <mergeCell ref="F121:H121"/>
    <mergeCell ref="F122:H122"/>
    <mergeCell ref="AB125:AH125"/>
    <mergeCell ref="A126:B126"/>
    <mergeCell ref="C126:E126"/>
    <mergeCell ref="F126:H126"/>
    <mergeCell ref="I126:K126"/>
    <mergeCell ref="L126:N126"/>
    <mergeCell ref="O126:X126"/>
    <mergeCell ref="AB126:AH126"/>
    <mergeCell ref="A125:B125"/>
    <mergeCell ref="C125:E125"/>
    <mergeCell ref="F125:H125"/>
    <mergeCell ref="I125:K125"/>
    <mergeCell ref="L125:N125"/>
    <mergeCell ref="O125:X125"/>
    <mergeCell ref="AB123:AH123"/>
    <mergeCell ref="A124:B124"/>
    <mergeCell ref="C124:E124"/>
    <mergeCell ref="F124:H124"/>
    <mergeCell ref="I124:K124"/>
    <mergeCell ref="L124:N124"/>
    <mergeCell ref="O124:X124"/>
    <mergeCell ref="AB124:AH124"/>
    <mergeCell ref="A123:B123"/>
    <mergeCell ref="C123:E123"/>
    <mergeCell ref="I123:K123"/>
    <mergeCell ref="L123:N123"/>
    <mergeCell ref="O123:X123"/>
    <mergeCell ref="F123:H123"/>
    <mergeCell ref="AB129:AH129"/>
    <mergeCell ref="A130:B130"/>
    <mergeCell ref="C130:E130"/>
    <mergeCell ref="F130:H130"/>
    <mergeCell ref="I130:K130"/>
    <mergeCell ref="L130:N130"/>
    <mergeCell ref="O130:X130"/>
    <mergeCell ref="AB130:AH130"/>
    <mergeCell ref="A129:B129"/>
    <mergeCell ref="C129:E129"/>
    <mergeCell ref="F129:H129"/>
    <mergeCell ref="I129:K129"/>
    <mergeCell ref="L129:N129"/>
    <mergeCell ref="O129:X129"/>
    <mergeCell ref="AB127:AH127"/>
    <mergeCell ref="A128:B128"/>
    <mergeCell ref="C128:E128"/>
    <mergeCell ref="F128:H128"/>
    <mergeCell ref="I128:K128"/>
    <mergeCell ref="L128:N128"/>
    <mergeCell ref="O128:X128"/>
    <mergeCell ref="AB128:AH128"/>
    <mergeCell ref="A127:B127"/>
    <mergeCell ref="C127:E127"/>
    <mergeCell ref="F127:H127"/>
    <mergeCell ref="I127:K127"/>
    <mergeCell ref="L127:N127"/>
    <mergeCell ref="O127:X127"/>
    <mergeCell ref="AB133:AH133"/>
    <mergeCell ref="A134:B134"/>
    <mergeCell ref="C134:E134"/>
    <mergeCell ref="F134:H134"/>
    <mergeCell ref="I134:K134"/>
    <mergeCell ref="L134:N134"/>
    <mergeCell ref="O134:X134"/>
    <mergeCell ref="AB134:AH134"/>
    <mergeCell ref="A133:B133"/>
    <mergeCell ref="C133:E133"/>
    <mergeCell ref="F133:H133"/>
    <mergeCell ref="I133:K133"/>
    <mergeCell ref="L133:N133"/>
    <mergeCell ref="O133:X133"/>
    <mergeCell ref="AB131:AH131"/>
    <mergeCell ref="A132:B132"/>
    <mergeCell ref="C132:E132"/>
    <mergeCell ref="F132:H132"/>
    <mergeCell ref="I132:K132"/>
    <mergeCell ref="L132:N132"/>
    <mergeCell ref="O132:X132"/>
    <mergeCell ref="AB132:AH132"/>
    <mergeCell ref="A131:B131"/>
    <mergeCell ref="C131:E131"/>
    <mergeCell ref="F131:H131"/>
    <mergeCell ref="I131:K131"/>
    <mergeCell ref="L131:N131"/>
    <mergeCell ref="O131:X131"/>
    <mergeCell ref="AB137:AH137"/>
    <mergeCell ref="A138:B138"/>
    <mergeCell ref="C138:E138"/>
    <mergeCell ref="F138:H138"/>
    <mergeCell ref="I138:K138"/>
    <mergeCell ref="L138:N138"/>
    <mergeCell ref="O138:X138"/>
    <mergeCell ref="AB138:AH138"/>
    <mergeCell ref="A137:B137"/>
    <mergeCell ref="C137:E137"/>
    <mergeCell ref="F137:H137"/>
    <mergeCell ref="I137:K137"/>
    <mergeCell ref="L137:N137"/>
    <mergeCell ref="O137:X137"/>
    <mergeCell ref="AB135:AH135"/>
    <mergeCell ref="A136:B136"/>
    <mergeCell ref="C136:E136"/>
    <mergeCell ref="F136:H136"/>
    <mergeCell ref="I136:K136"/>
    <mergeCell ref="L136:N136"/>
    <mergeCell ref="O136:X136"/>
    <mergeCell ref="AB136:AH136"/>
    <mergeCell ref="A135:B135"/>
    <mergeCell ref="C135:E135"/>
    <mergeCell ref="F135:H135"/>
    <mergeCell ref="I135:K135"/>
    <mergeCell ref="L135:N135"/>
    <mergeCell ref="O135:X135"/>
    <mergeCell ref="AB141:AH141"/>
    <mergeCell ref="A142:B142"/>
    <mergeCell ref="C142:E142"/>
    <mergeCell ref="F142:H142"/>
    <mergeCell ref="I142:K142"/>
    <mergeCell ref="L142:N142"/>
    <mergeCell ref="O142:X142"/>
    <mergeCell ref="AB142:AH142"/>
    <mergeCell ref="A141:B141"/>
    <mergeCell ref="C141:E141"/>
    <mergeCell ref="F141:H141"/>
    <mergeCell ref="I141:K141"/>
    <mergeCell ref="L141:N141"/>
    <mergeCell ref="O141:X141"/>
    <mergeCell ref="AB139:AH139"/>
    <mergeCell ref="A140:B140"/>
    <mergeCell ref="C140:E140"/>
    <mergeCell ref="F140:H140"/>
    <mergeCell ref="I140:K140"/>
    <mergeCell ref="L140:N140"/>
    <mergeCell ref="O140:X140"/>
    <mergeCell ref="AB140:AH140"/>
    <mergeCell ref="A139:B139"/>
    <mergeCell ref="C139:E139"/>
    <mergeCell ref="F139:H139"/>
    <mergeCell ref="I139:K139"/>
    <mergeCell ref="L139:N139"/>
    <mergeCell ref="O139:X139"/>
    <mergeCell ref="AB145:AH145"/>
    <mergeCell ref="A146:B146"/>
    <mergeCell ref="C146:E146"/>
    <mergeCell ref="F146:H146"/>
    <mergeCell ref="I146:K146"/>
    <mergeCell ref="L146:N146"/>
    <mergeCell ref="O146:X146"/>
    <mergeCell ref="AB146:AH146"/>
    <mergeCell ref="A145:B145"/>
    <mergeCell ref="C145:E145"/>
    <mergeCell ref="F145:H145"/>
    <mergeCell ref="I145:K145"/>
    <mergeCell ref="L145:N145"/>
    <mergeCell ref="O145:X145"/>
    <mergeCell ref="AB143:AH143"/>
    <mergeCell ref="A144:B144"/>
    <mergeCell ref="C144:E144"/>
    <mergeCell ref="F144:H144"/>
    <mergeCell ref="I144:K144"/>
    <mergeCell ref="L144:N144"/>
    <mergeCell ref="O144:X144"/>
    <mergeCell ref="AB144:AH144"/>
    <mergeCell ref="A143:B143"/>
    <mergeCell ref="C143:E143"/>
    <mergeCell ref="F143:H143"/>
    <mergeCell ref="I143:K143"/>
    <mergeCell ref="L143:N143"/>
    <mergeCell ref="O143:X143"/>
    <mergeCell ref="AB149:AH149"/>
    <mergeCell ref="A150:B150"/>
    <mergeCell ref="C150:E150"/>
    <mergeCell ref="F150:H150"/>
    <mergeCell ref="I150:K150"/>
    <mergeCell ref="L150:N150"/>
    <mergeCell ref="O150:X150"/>
    <mergeCell ref="AB150:AH150"/>
    <mergeCell ref="A149:B149"/>
    <mergeCell ref="C149:E149"/>
    <mergeCell ref="F149:H149"/>
    <mergeCell ref="I149:K149"/>
    <mergeCell ref="L149:N149"/>
    <mergeCell ref="O149:X149"/>
    <mergeCell ref="AB147:AH147"/>
    <mergeCell ref="A148:B148"/>
    <mergeCell ref="C148:E148"/>
    <mergeCell ref="F148:H148"/>
    <mergeCell ref="I148:K148"/>
    <mergeCell ref="L148:N148"/>
    <mergeCell ref="O148:X148"/>
    <mergeCell ref="AB148:AH148"/>
    <mergeCell ref="A147:B147"/>
    <mergeCell ref="C147:E147"/>
    <mergeCell ref="F147:H147"/>
    <mergeCell ref="I147:K147"/>
    <mergeCell ref="L147:N147"/>
    <mergeCell ref="O147:X147"/>
    <mergeCell ref="AB153:AH153"/>
    <mergeCell ref="A154:B154"/>
    <mergeCell ref="C154:E154"/>
    <mergeCell ref="F154:H154"/>
    <mergeCell ref="I154:K154"/>
    <mergeCell ref="L154:N154"/>
    <mergeCell ref="O154:X154"/>
    <mergeCell ref="AB154:AH154"/>
    <mergeCell ref="A153:B153"/>
    <mergeCell ref="C153:E153"/>
    <mergeCell ref="F153:H153"/>
    <mergeCell ref="I153:K153"/>
    <mergeCell ref="L153:N153"/>
    <mergeCell ref="O153:X153"/>
    <mergeCell ref="AB151:AH151"/>
    <mergeCell ref="A152:B152"/>
    <mergeCell ref="C152:E152"/>
    <mergeCell ref="F152:H152"/>
    <mergeCell ref="I152:K152"/>
    <mergeCell ref="L152:N152"/>
    <mergeCell ref="O152:X152"/>
    <mergeCell ref="AB152:AH152"/>
    <mergeCell ref="A151:B151"/>
    <mergeCell ref="C151:E151"/>
    <mergeCell ref="F151:H151"/>
    <mergeCell ref="I151:K151"/>
    <mergeCell ref="L151:N151"/>
    <mergeCell ref="O151:X151"/>
    <mergeCell ref="AB157:AH157"/>
    <mergeCell ref="A158:B158"/>
    <mergeCell ref="C158:E158"/>
    <mergeCell ref="F158:H158"/>
    <mergeCell ref="I158:K158"/>
    <mergeCell ref="L158:N158"/>
    <mergeCell ref="O158:X158"/>
    <mergeCell ref="AB158:AH158"/>
    <mergeCell ref="A157:B157"/>
    <mergeCell ref="C157:E157"/>
    <mergeCell ref="F157:H157"/>
    <mergeCell ref="I157:K157"/>
    <mergeCell ref="L157:N157"/>
    <mergeCell ref="O157:X157"/>
    <mergeCell ref="AB155:AH155"/>
    <mergeCell ref="A156:B156"/>
    <mergeCell ref="C156:E156"/>
    <mergeCell ref="F156:H156"/>
    <mergeCell ref="I156:K156"/>
    <mergeCell ref="L156:N156"/>
    <mergeCell ref="O156:X156"/>
    <mergeCell ref="AB156:AH156"/>
    <mergeCell ref="A155:B155"/>
    <mergeCell ref="C155:E155"/>
    <mergeCell ref="F155:H155"/>
    <mergeCell ref="I155:K155"/>
    <mergeCell ref="L155:N155"/>
    <mergeCell ref="O155:X155"/>
    <mergeCell ref="AB161:AH161"/>
    <mergeCell ref="A162:B162"/>
    <mergeCell ref="C162:E162"/>
    <mergeCell ref="F162:H162"/>
    <mergeCell ref="I162:K162"/>
    <mergeCell ref="L162:N162"/>
    <mergeCell ref="O162:X162"/>
    <mergeCell ref="AB162:AH162"/>
    <mergeCell ref="A161:B161"/>
    <mergeCell ref="C161:E161"/>
    <mergeCell ref="F161:H161"/>
    <mergeCell ref="I161:K161"/>
    <mergeCell ref="L161:N161"/>
    <mergeCell ref="O161:X161"/>
    <mergeCell ref="AB159:AH159"/>
    <mergeCell ref="A160:B160"/>
    <mergeCell ref="C160:E160"/>
    <mergeCell ref="F160:H160"/>
    <mergeCell ref="I160:K160"/>
    <mergeCell ref="L160:N160"/>
    <mergeCell ref="O160:X160"/>
    <mergeCell ref="AB160:AH160"/>
    <mergeCell ref="A159:B159"/>
    <mergeCell ref="C159:E159"/>
    <mergeCell ref="F159:H159"/>
    <mergeCell ref="I159:K159"/>
    <mergeCell ref="L159:N159"/>
    <mergeCell ref="O159:X159"/>
    <mergeCell ref="AB165:AH165"/>
    <mergeCell ref="A166:B166"/>
    <mergeCell ref="C166:E166"/>
    <mergeCell ref="F166:H166"/>
    <mergeCell ref="I166:K166"/>
    <mergeCell ref="L166:N166"/>
    <mergeCell ref="O166:X166"/>
    <mergeCell ref="AB166:AH166"/>
    <mergeCell ref="A165:B165"/>
    <mergeCell ref="C165:E165"/>
    <mergeCell ref="F165:H165"/>
    <mergeCell ref="I165:K165"/>
    <mergeCell ref="L165:N165"/>
    <mergeCell ref="O165:X165"/>
    <mergeCell ref="AB163:AH163"/>
    <mergeCell ref="A164:B164"/>
    <mergeCell ref="C164:E164"/>
    <mergeCell ref="F164:H164"/>
    <mergeCell ref="I164:K164"/>
    <mergeCell ref="L164:N164"/>
    <mergeCell ref="O164:X164"/>
    <mergeCell ref="AB164:AH164"/>
    <mergeCell ref="A163:B163"/>
    <mergeCell ref="C163:E163"/>
    <mergeCell ref="F163:H163"/>
    <mergeCell ref="I163:K163"/>
    <mergeCell ref="L163:N163"/>
    <mergeCell ref="O163:X163"/>
    <mergeCell ref="AB169:AH169"/>
    <mergeCell ref="A170:B170"/>
    <mergeCell ref="C170:E170"/>
    <mergeCell ref="F170:H170"/>
    <mergeCell ref="I170:K170"/>
    <mergeCell ref="L170:N170"/>
    <mergeCell ref="O170:X170"/>
    <mergeCell ref="AB170:AH170"/>
    <mergeCell ref="A169:B169"/>
    <mergeCell ref="C169:E169"/>
    <mergeCell ref="F169:H169"/>
    <mergeCell ref="I169:K169"/>
    <mergeCell ref="L169:N169"/>
    <mergeCell ref="O169:X169"/>
    <mergeCell ref="AB167:AH167"/>
    <mergeCell ref="A168:B168"/>
    <mergeCell ref="C168:E168"/>
    <mergeCell ref="F168:H168"/>
    <mergeCell ref="I168:K168"/>
    <mergeCell ref="L168:N168"/>
    <mergeCell ref="O168:X168"/>
    <mergeCell ref="AB168:AH168"/>
    <mergeCell ref="A167:B167"/>
    <mergeCell ref="C167:E167"/>
    <mergeCell ref="F167:H167"/>
    <mergeCell ref="I167:K167"/>
    <mergeCell ref="L167:N167"/>
    <mergeCell ref="O167:X167"/>
    <mergeCell ref="AB173:AH173"/>
    <mergeCell ref="A174:B174"/>
    <mergeCell ref="C174:E174"/>
    <mergeCell ref="F174:H174"/>
    <mergeCell ref="I174:K174"/>
    <mergeCell ref="L174:N174"/>
    <mergeCell ref="O174:X174"/>
    <mergeCell ref="AB174:AH174"/>
    <mergeCell ref="A173:B173"/>
    <mergeCell ref="C173:E173"/>
    <mergeCell ref="F173:H173"/>
    <mergeCell ref="I173:K173"/>
    <mergeCell ref="L173:N173"/>
    <mergeCell ref="O173:X173"/>
    <mergeCell ref="AB171:AH171"/>
    <mergeCell ref="A172:B172"/>
    <mergeCell ref="C172:E172"/>
    <mergeCell ref="F172:H172"/>
    <mergeCell ref="I172:K172"/>
    <mergeCell ref="L172:N172"/>
    <mergeCell ref="O172:X172"/>
    <mergeCell ref="AB172:AH172"/>
    <mergeCell ref="A171:B171"/>
    <mergeCell ref="C171:E171"/>
    <mergeCell ref="F171:H171"/>
    <mergeCell ref="I171:K171"/>
    <mergeCell ref="L171:N171"/>
    <mergeCell ref="O171:X171"/>
    <mergeCell ref="AB177:AH177"/>
    <mergeCell ref="A178:B178"/>
    <mergeCell ref="C178:E178"/>
    <mergeCell ref="F178:H178"/>
    <mergeCell ref="I178:K178"/>
    <mergeCell ref="L178:N178"/>
    <mergeCell ref="O178:X178"/>
    <mergeCell ref="AB178:AH178"/>
    <mergeCell ref="A177:B177"/>
    <mergeCell ref="C177:E177"/>
    <mergeCell ref="F177:H177"/>
    <mergeCell ref="I177:K177"/>
    <mergeCell ref="L177:N177"/>
    <mergeCell ref="O177:X177"/>
    <mergeCell ref="AB175:AH175"/>
    <mergeCell ref="A176:B176"/>
    <mergeCell ref="C176:E176"/>
    <mergeCell ref="F176:H176"/>
    <mergeCell ref="I176:K176"/>
    <mergeCell ref="L176:N176"/>
    <mergeCell ref="O176:X176"/>
    <mergeCell ref="AB176:AH176"/>
    <mergeCell ref="A175:B175"/>
    <mergeCell ref="C175:E175"/>
    <mergeCell ref="F175:H175"/>
    <mergeCell ref="I175:K175"/>
    <mergeCell ref="L175:N175"/>
    <mergeCell ref="O175:X175"/>
    <mergeCell ref="AB181:AH181"/>
    <mergeCell ref="A182:B182"/>
    <mergeCell ref="C182:E182"/>
    <mergeCell ref="F182:H182"/>
    <mergeCell ref="I182:K182"/>
    <mergeCell ref="L182:N182"/>
    <mergeCell ref="O182:X182"/>
    <mergeCell ref="AB182:AH182"/>
    <mergeCell ref="A181:B181"/>
    <mergeCell ref="C181:E181"/>
    <mergeCell ref="F181:H181"/>
    <mergeCell ref="I181:K181"/>
    <mergeCell ref="L181:N181"/>
    <mergeCell ref="O181:X181"/>
    <mergeCell ref="AB179:AH179"/>
    <mergeCell ref="A180:B180"/>
    <mergeCell ref="C180:E180"/>
    <mergeCell ref="F180:H180"/>
    <mergeCell ref="I180:K180"/>
    <mergeCell ref="L180:N180"/>
    <mergeCell ref="O180:X180"/>
    <mergeCell ref="AB180:AH180"/>
    <mergeCell ref="A179:B179"/>
    <mergeCell ref="C179:E179"/>
    <mergeCell ref="F179:H179"/>
    <mergeCell ref="I179:K179"/>
    <mergeCell ref="L179:N179"/>
    <mergeCell ref="O179:X179"/>
    <mergeCell ref="AB185:AH185"/>
    <mergeCell ref="A186:B186"/>
    <mergeCell ref="C186:E186"/>
    <mergeCell ref="F186:H186"/>
    <mergeCell ref="I186:K186"/>
    <mergeCell ref="L186:N186"/>
    <mergeCell ref="O186:X186"/>
    <mergeCell ref="AB186:AH186"/>
    <mergeCell ref="A185:B185"/>
    <mergeCell ref="C185:E185"/>
    <mergeCell ref="F185:H185"/>
    <mergeCell ref="I185:K185"/>
    <mergeCell ref="L185:N185"/>
    <mergeCell ref="O185:X185"/>
    <mergeCell ref="AB183:AH183"/>
    <mergeCell ref="A184:B184"/>
    <mergeCell ref="C184:E184"/>
    <mergeCell ref="F184:H184"/>
    <mergeCell ref="I184:K184"/>
    <mergeCell ref="L184:N184"/>
    <mergeCell ref="O184:X184"/>
    <mergeCell ref="AB184:AH184"/>
    <mergeCell ref="A183:B183"/>
    <mergeCell ref="C183:E183"/>
    <mergeCell ref="F183:H183"/>
    <mergeCell ref="I183:K183"/>
    <mergeCell ref="L183:N183"/>
    <mergeCell ref="O183:X183"/>
    <mergeCell ref="AB189:AH189"/>
    <mergeCell ref="A190:B190"/>
    <mergeCell ref="C190:E190"/>
    <mergeCell ref="F190:H190"/>
    <mergeCell ref="I190:K190"/>
    <mergeCell ref="L190:N190"/>
    <mergeCell ref="O190:X190"/>
    <mergeCell ref="AB190:AH190"/>
    <mergeCell ref="A189:B189"/>
    <mergeCell ref="C189:E189"/>
    <mergeCell ref="F189:H189"/>
    <mergeCell ref="I189:K189"/>
    <mergeCell ref="L189:N189"/>
    <mergeCell ref="O189:X189"/>
    <mergeCell ref="AB187:AH187"/>
    <mergeCell ref="A188:B188"/>
    <mergeCell ref="C188:E188"/>
    <mergeCell ref="F188:H188"/>
    <mergeCell ref="I188:K188"/>
    <mergeCell ref="L188:N188"/>
    <mergeCell ref="O188:X188"/>
    <mergeCell ref="AB188:AH188"/>
    <mergeCell ref="A187:B187"/>
    <mergeCell ref="C187:E187"/>
    <mergeCell ref="F187:H187"/>
    <mergeCell ref="I187:K187"/>
    <mergeCell ref="L187:N187"/>
    <mergeCell ref="O187:X187"/>
    <mergeCell ref="AB193:AH193"/>
    <mergeCell ref="A194:B194"/>
    <mergeCell ref="C194:E194"/>
    <mergeCell ref="F194:H194"/>
    <mergeCell ref="I194:K194"/>
    <mergeCell ref="L194:N194"/>
    <mergeCell ref="O194:X194"/>
    <mergeCell ref="AB194:AH194"/>
    <mergeCell ref="A193:B193"/>
    <mergeCell ref="C193:E193"/>
    <mergeCell ref="F193:H193"/>
    <mergeCell ref="I193:K193"/>
    <mergeCell ref="L193:N193"/>
    <mergeCell ref="O193:X193"/>
    <mergeCell ref="AB191:AH191"/>
    <mergeCell ref="A192:B192"/>
    <mergeCell ref="C192:E192"/>
    <mergeCell ref="F192:H192"/>
    <mergeCell ref="I192:K192"/>
    <mergeCell ref="L192:N192"/>
    <mergeCell ref="O192:X192"/>
    <mergeCell ref="AB192:AH192"/>
    <mergeCell ref="A191:B191"/>
    <mergeCell ref="C191:E191"/>
    <mergeCell ref="F191:H191"/>
    <mergeCell ref="I191:K191"/>
    <mergeCell ref="L191:N191"/>
    <mergeCell ref="O191:X191"/>
    <mergeCell ref="AB197:AH197"/>
    <mergeCell ref="A198:B198"/>
    <mergeCell ref="C198:E198"/>
    <mergeCell ref="F198:H198"/>
    <mergeCell ref="I198:K198"/>
    <mergeCell ref="L198:N198"/>
    <mergeCell ref="O198:X198"/>
    <mergeCell ref="AB198:AH198"/>
    <mergeCell ref="A197:B197"/>
    <mergeCell ref="C197:E197"/>
    <mergeCell ref="F197:H197"/>
    <mergeCell ref="I197:K197"/>
    <mergeCell ref="L197:N197"/>
    <mergeCell ref="O197:X197"/>
    <mergeCell ref="AB195:AH195"/>
    <mergeCell ref="A196:B196"/>
    <mergeCell ref="C196:E196"/>
    <mergeCell ref="F196:H196"/>
    <mergeCell ref="I196:K196"/>
    <mergeCell ref="L196:N196"/>
    <mergeCell ref="O196:X196"/>
    <mergeCell ref="AB196:AH196"/>
    <mergeCell ref="A195:B195"/>
    <mergeCell ref="C195:E195"/>
    <mergeCell ref="F195:H195"/>
    <mergeCell ref="I195:K195"/>
    <mergeCell ref="L195:N195"/>
    <mergeCell ref="O195:X195"/>
    <mergeCell ref="AB201:AH201"/>
    <mergeCell ref="A202:B202"/>
    <mergeCell ref="C202:E202"/>
    <mergeCell ref="F202:H202"/>
    <mergeCell ref="I202:K202"/>
    <mergeCell ref="L202:N202"/>
    <mergeCell ref="O202:X202"/>
    <mergeCell ref="AB202:AH202"/>
    <mergeCell ref="A201:B201"/>
    <mergeCell ref="C201:E201"/>
    <mergeCell ref="F201:H201"/>
    <mergeCell ref="I201:K201"/>
    <mergeCell ref="L201:N201"/>
    <mergeCell ref="O201:X201"/>
    <mergeCell ref="AB199:AH199"/>
    <mergeCell ref="A200:B200"/>
    <mergeCell ref="C200:E200"/>
    <mergeCell ref="F200:H200"/>
    <mergeCell ref="I200:K200"/>
    <mergeCell ref="L200:N200"/>
    <mergeCell ref="O200:X200"/>
    <mergeCell ref="AB200:AH200"/>
    <mergeCell ref="A199:B199"/>
    <mergeCell ref="C199:E199"/>
    <mergeCell ref="F199:H199"/>
    <mergeCell ref="I199:K199"/>
    <mergeCell ref="L199:N199"/>
    <mergeCell ref="O199:X199"/>
    <mergeCell ref="AB205:AH205"/>
    <mergeCell ref="A206:B206"/>
    <mergeCell ref="C206:E206"/>
    <mergeCell ref="F206:H206"/>
    <mergeCell ref="I206:K206"/>
    <mergeCell ref="L206:N206"/>
    <mergeCell ref="O206:X206"/>
    <mergeCell ref="AB206:AH206"/>
    <mergeCell ref="A205:B205"/>
    <mergeCell ref="C205:E205"/>
    <mergeCell ref="F205:H205"/>
    <mergeCell ref="I205:K205"/>
    <mergeCell ref="L205:N205"/>
    <mergeCell ref="O205:X205"/>
    <mergeCell ref="AB203:AH203"/>
    <mergeCell ref="A204:B204"/>
    <mergeCell ref="C204:E204"/>
    <mergeCell ref="F204:H204"/>
    <mergeCell ref="I204:K204"/>
    <mergeCell ref="L204:N204"/>
    <mergeCell ref="O204:X204"/>
    <mergeCell ref="AB204:AH204"/>
    <mergeCell ref="A203:B203"/>
    <mergeCell ref="C203:E203"/>
    <mergeCell ref="F203:H203"/>
    <mergeCell ref="I203:K203"/>
    <mergeCell ref="L203:N203"/>
    <mergeCell ref="O203:X203"/>
    <mergeCell ref="AB209:AH209"/>
    <mergeCell ref="A210:B210"/>
    <mergeCell ref="C210:E210"/>
    <mergeCell ref="F210:H210"/>
    <mergeCell ref="I210:K210"/>
    <mergeCell ref="L210:N210"/>
    <mergeCell ref="O210:X210"/>
    <mergeCell ref="AB210:AH210"/>
    <mergeCell ref="A209:B209"/>
    <mergeCell ref="C209:E209"/>
    <mergeCell ref="F209:H209"/>
    <mergeCell ref="I209:K209"/>
    <mergeCell ref="L209:N209"/>
    <mergeCell ref="O209:X209"/>
    <mergeCell ref="AB207:AH207"/>
    <mergeCell ref="A208:B208"/>
    <mergeCell ref="C208:E208"/>
    <mergeCell ref="F208:H208"/>
    <mergeCell ref="I208:K208"/>
    <mergeCell ref="L208:N208"/>
    <mergeCell ref="O208:X208"/>
    <mergeCell ref="AB208:AH208"/>
    <mergeCell ref="A207:B207"/>
    <mergeCell ref="C207:E207"/>
    <mergeCell ref="F207:H207"/>
    <mergeCell ref="I207:K207"/>
    <mergeCell ref="L207:N207"/>
    <mergeCell ref="O207:X207"/>
    <mergeCell ref="AB213:AH213"/>
    <mergeCell ref="A214:B214"/>
    <mergeCell ref="C214:E214"/>
    <mergeCell ref="F214:H214"/>
    <mergeCell ref="I214:K214"/>
    <mergeCell ref="L214:N214"/>
    <mergeCell ref="O214:X214"/>
    <mergeCell ref="AB214:AH214"/>
    <mergeCell ref="A213:B213"/>
    <mergeCell ref="C213:E213"/>
    <mergeCell ref="F213:H213"/>
    <mergeCell ref="I213:K213"/>
    <mergeCell ref="L213:N213"/>
    <mergeCell ref="O213:X213"/>
    <mergeCell ref="AB211:AH211"/>
    <mergeCell ref="A212:B212"/>
    <mergeCell ref="C212:E212"/>
    <mergeCell ref="F212:H212"/>
    <mergeCell ref="I212:K212"/>
    <mergeCell ref="L212:N212"/>
    <mergeCell ref="O212:X212"/>
    <mergeCell ref="AB212:AH212"/>
    <mergeCell ref="A211:B211"/>
    <mergeCell ref="C211:E211"/>
    <mergeCell ref="F211:H211"/>
    <mergeCell ref="I211:K211"/>
    <mergeCell ref="L211:N211"/>
    <mergeCell ref="O211:X211"/>
    <mergeCell ref="AB217:AH217"/>
    <mergeCell ref="A218:B218"/>
    <mergeCell ref="C218:E218"/>
    <mergeCell ref="F218:H218"/>
    <mergeCell ref="I218:K218"/>
    <mergeCell ref="L218:N218"/>
    <mergeCell ref="O218:X218"/>
    <mergeCell ref="AB218:AH218"/>
    <mergeCell ref="A217:B217"/>
    <mergeCell ref="C217:E217"/>
    <mergeCell ref="F217:H217"/>
    <mergeCell ref="I217:K217"/>
    <mergeCell ref="L217:N217"/>
    <mergeCell ref="O217:X217"/>
    <mergeCell ref="AB215:AH215"/>
    <mergeCell ref="A216:B216"/>
    <mergeCell ref="C216:E216"/>
    <mergeCell ref="F216:H216"/>
    <mergeCell ref="I216:K216"/>
    <mergeCell ref="L216:N216"/>
    <mergeCell ref="O216:X216"/>
    <mergeCell ref="AB216:AH216"/>
    <mergeCell ref="A215:B215"/>
    <mergeCell ref="C215:E215"/>
    <mergeCell ref="F215:H215"/>
    <mergeCell ref="I215:K215"/>
    <mergeCell ref="L215:N215"/>
    <mergeCell ref="O215:X215"/>
    <mergeCell ref="AB221:AH221"/>
    <mergeCell ref="A222:B222"/>
    <mergeCell ref="C222:E222"/>
    <mergeCell ref="F222:H222"/>
    <mergeCell ref="I222:K222"/>
    <mergeCell ref="L222:N222"/>
    <mergeCell ref="O222:X222"/>
    <mergeCell ref="AB222:AH222"/>
    <mergeCell ref="A221:B221"/>
    <mergeCell ref="C221:E221"/>
    <mergeCell ref="F221:H221"/>
    <mergeCell ref="I221:K221"/>
    <mergeCell ref="L221:N221"/>
    <mergeCell ref="O221:X221"/>
    <mergeCell ref="AB219:AH219"/>
    <mergeCell ref="A220:B220"/>
    <mergeCell ref="C220:E220"/>
    <mergeCell ref="F220:H220"/>
    <mergeCell ref="I220:K220"/>
    <mergeCell ref="L220:N220"/>
    <mergeCell ref="O220:X220"/>
    <mergeCell ref="AB220:AH220"/>
    <mergeCell ref="A219:B219"/>
    <mergeCell ref="C219:E219"/>
    <mergeCell ref="F219:H219"/>
    <mergeCell ref="I219:K219"/>
    <mergeCell ref="L219:N219"/>
    <mergeCell ref="O219:X219"/>
    <mergeCell ref="AB225:AH225"/>
    <mergeCell ref="A226:B226"/>
    <mergeCell ref="C226:E226"/>
    <mergeCell ref="F226:H226"/>
    <mergeCell ref="I226:K226"/>
    <mergeCell ref="L226:N226"/>
    <mergeCell ref="O226:X226"/>
    <mergeCell ref="AB226:AH226"/>
    <mergeCell ref="A225:B225"/>
    <mergeCell ref="C225:E225"/>
    <mergeCell ref="F225:H225"/>
    <mergeCell ref="I225:K225"/>
    <mergeCell ref="L225:N225"/>
    <mergeCell ref="O225:X225"/>
    <mergeCell ref="AB223:AH223"/>
    <mergeCell ref="A224:B224"/>
    <mergeCell ref="C224:E224"/>
    <mergeCell ref="F224:H224"/>
    <mergeCell ref="I224:K224"/>
    <mergeCell ref="L224:N224"/>
    <mergeCell ref="O224:X224"/>
    <mergeCell ref="AB224:AH224"/>
    <mergeCell ref="A223:B223"/>
    <mergeCell ref="C223:E223"/>
    <mergeCell ref="F223:H223"/>
    <mergeCell ref="I223:K223"/>
    <mergeCell ref="L223:N223"/>
    <mergeCell ref="O223:X223"/>
    <mergeCell ref="AB229:AH229"/>
    <mergeCell ref="A230:B230"/>
    <mergeCell ref="C230:E230"/>
    <mergeCell ref="F230:H230"/>
    <mergeCell ref="I230:K230"/>
    <mergeCell ref="L230:N230"/>
    <mergeCell ref="O230:X230"/>
    <mergeCell ref="AB230:AH230"/>
    <mergeCell ref="A229:B229"/>
    <mergeCell ref="C229:E229"/>
    <mergeCell ref="F229:H229"/>
    <mergeCell ref="I229:K229"/>
    <mergeCell ref="L229:N229"/>
    <mergeCell ref="O229:X229"/>
    <mergeCell ref="AB227:AH227"/>
    <mergeCell ref="A228:B228"/>
    <mergeCell ref="C228:E228"/>
    <mergeCell ref="F228:H228"/>
    <mergeCell ref="I228:K228"/>
    <mergeCell ref="L228:N228"/>
    <mergeCell ref="O228:X228"/>
    <mergeCell ref="AB228:AH228"/>
    <mergeCell ref="A227:B227"/>
    <mergeCell ref="C227:E227"/>
    <mergeCell ref="F227:H227"/>
    <mergeCell ref="I227:K227"/>
    <mergeCell ref="L227:N227"/>
    <mergeCell ref="O227:X227"/>
    <mergeCell ref="AB233:AH233"/>
    <mergeCell ref="A234:B234"/>
    <mergeCell ref="C234:E234"/>
    <mergeCell ref="F234:H234"/>
    <mergeCell ref="I234:K234"/>
    <mergeCell ref="L234:N234"/>
    <mergeCell ref="O234:X234"/>
    <mergeCell ref="AB234:AH234"/>
    <mergeCell ref="A233:B233"/>
    <mergeCell ref="C233:E233"/>
    <mergeCell ref="F233:H233"/>
    <mergeCell ref="I233:K233"/>
    <mergeCell ref="L233:N233"/>
    <mergeCell ref="O233:X233"/>
    <mergeCell ref="AB231:AH231"/>
    <mergeCell ref="A232:B232"/>
    <mergeCell ref="C232:E232"/>
    <mergeCell ref="F232:H232"/>
    <mergeCell ref="I232:K232"/>
    <mergeCell ref="L232:N232"/>
    <mergeCell ref="O232:X232"/>
    <mergeCell ref="AB232:AH232"/>
    <mergeCell ref="A231:B231"/>
    <mergeCell ref="C231:E231"/>
    <mergeCell ref="F231:H231"/>
    <mergeCell ref="I231:K231"/>
    <mergeCell ref="L231:N231"/>
    <mergeCell ref="O231:X231"/>
    <mergeCell ref="AB237:AH237"/>
    <mergeCell ref="A238:B238"/>
    <mergeCell ref="C238:E238"/>
    <mergeCell ref="F238:H238"/>
    <mergeCell ref="I238:K238"/>
    <mergeCell ref="L238:N238"/>
    <mergeCell ref="O238:X238"/>
    <mergeCell ref="AB238:AH238"/>
    <mergeCell ref="A237:B237"/>
    <mergeCell ref="C237:E237"/>
    <mergeCell ref="F237:H237"/>
    <mergeCell ref="I237:K237"/>
    <mergeCell ref="L237:N237"/>
    <mergeCell ref="O237:X237"/>
    <mergeCell ref="AB235:AH235"/>
    <mergeCell ref="A236:B236"/>
    <mergeCell ref="C236:E236"/>
    <mergeCell ref="F236:H236"/>
    <mergeCell ref="I236:K236"/>
    <mergeCell ref="L236:N236"/>
    <mergeCell ref="O236:X236"/>
    <mergeCell ref="AB236:AH236"/>
    <mergeCell ref="A235:B235"/>
    <mergeCell ref="C235:E235"/>
    <mergeCell ref="F235:H235"/>
    <mergeCell ref="I235:K235"/>
    <mergeCell ref="L235:N235"/>
    <mergeCell ref="O235:X235"/>
    <mergeCell ref="AB241:AH241"/>
    <mergeCell ref="A242:B242"/>
    <mergeCell ref="C242:E242"/>
    <mergeCell ref="F242:H242"/>
    <mergeCell ref="I242:K242"/>
    <mergeCell ref="L242:N242"/>
    <mergeCell ref="O242:X242"/>
    <mergeCell ref="AB242:AH242"/>
    <mergeCell ref="A241:B241"/>
    <mergeCell ref="C241:E241"/>
    <mergeCell ref="F241:H241"/>
    <mergeCell ref="I241:K241"/>
    <mergeCell ref="L241:N241"/>
    <mergeCell ref="O241:X241"/>
    <mergeCell ref="AB239:AH239"/>
    <mergeCell ref="A240:B240"/>
    <mergeCell ref="C240:E240"/>
    <mergeCell ref="F240:H240"/>
    <mergeCell ref="I240:K240"/>
    <mergeCell ref="L240:N240"/>
    <mergeCell ref="O240:X240"/>
    <mergeCell ref="AB240:AH240"/>
    <mergeCell ref="A239:B239"/>
    <mergeCell ref="C239:E239"/>
    <mergeCell ref="F239:H239"/>
    <mergeCell ref="I239:K239"/>
    <mergeCell ref="L239:N239"/>
    <mergeCell ref="O239:X239"/>
    <mergeCell ref="AB245:AH245"/>
    <mergeCell ref="A246:B246"/>
    <mergeCell ref="C246:E246"/>
    <mergeCell ref="F246:H246"/>
    <mergeCell ref="I246:K246"/>
    <mergeCell ref="L246:N246"/>
    <mergeCell ref="O246:X246"/>
    <mergeCell ref="AB246:AH246"/>
    <mergeCell ref="A245:B245"/>
    <mergeCell ref="C245:E245"/>
    <mergeCell ref="F245:H245"/>
    <mergeCell ref="I245:K245"/>
    <mergeCell ref="L245:N245"/>
    <mergeCell ref="O245:X245"/>
    <mergeCell ref="AB243:AH243"/>
    <mergeCell ref="A244:B244"/>
    <mergeCell ref="C244:E244"/>
    <mergeCell ref="F244:H244"/>
    <mergeCell ref="I244:K244"/>
    <mergeCell ref="L244:N244"/>
    <mergeCell ref="O244:X244"/>
    <mergeCell ref="AB244:AH244"/>
    <mergeCell ref="A243:B243"/>
    <mergeCell ref="C243:E243"/>
    <mergeCell ref="F243:H243"/>
    <mergeCell ref="I243:K243"/>
    <mergeCell ref="L243:N243"/>
    <mergeCell ref="O243:X243"/>
    <mergeCell ref="AB249:AH249"/>
    <mergeCell ref="A250:B250"/>
    <mergeCell ref="C250:E250"/>
    <mergeCell ref="F250:H250"/>
    <mergeCell ref="I250:K250"/>
    <mergeCell ref="L250:N250"/>
    <mergeCell ref="O250:X250"/>
    <mergeCell ref="AB250:AH250"/>
    <mergeCell ref="A249:B249"/>
    <mergeCell ref="C249:E249"/>
    <mergeCell ref="F249:H249"/>
    <mergeCell ref="I249:K249"/>
    <mergeCell ref="L249:N249"/>
    <mergeCell ref="O249:X249"/>
    <mergeCell ref="AB247:AH247"/>
    <mergeCell ref="A248:B248"/>
    <mergeCell ref="C248:E248"/>
    <mergeCell ref="F248:H248"/>
    <mergeCell ref="I248:K248"/>
    <mergeCell ref="L248:N248"/>
    <mergeCell ref="O248:X248"/>
    <mergeCell ref="AB248:AH248"/>
    <mergeCell ref="A247:B247"/>
    <mergeCell ref="C247:E247"/>
    <mergeCell ref="F247:H247"/>
    <mergeCell ref="I247:K247"/>
    <mergeCell ref="L247:N247"/>
    <mergeCell ref="O247:X247"/>
    <mergeCell ref="AB253:AH253"/>
    <mergeCell ref="A254:B254"/>
    <mergeCell ref="C254:E254"/>
    <mergeCell ref="F254:H254"/>
    <mergeCell ref="I254:K254"/>
    <mergeCell ref="L254:N254"/>
    <mergeCell ref="O254:X254"/>
    <mergeCell ref="AB254:AH254"/>
    <mergeCell ref="A253:B253"/>
    <mergeCell ref="C253:E253"/>
    <mergeCell ref="F253:H253"/>
    <mergeCell ref="I253:K253"/>
    <mergeCell ref="L253:N253"/>
    <mergeCell ref="O253:X253"/>
    <mergeCell ref="AB251:AH251"/>
    <mergeCell ref="A252:B252"/>
    <mergeCell ref="C252:E252"/>
    <mergeCell ref="F252:H252"/>
    <mergeCell ref="I252:K252"/>
    <mergeCell ref="L252:N252"/>
    <mergeCell ref="O252:X252"/>
    <mergeCell ref="AB252:AH252"/>
    <mergeCell ref="A251:B251"/>
    <mergeCell ref="C251:E251"/>
    <mergeCell ref="F251:H251"/>
    <mergeCell ref="I251:K251"/>
    <mergeCell ref="L251:N251"/>
    <mergeCell ref="O251:X251"/>
    <mergeCell ref="AB257:AH257"/>
    <mergeCell ref="A258:B258"/>
    <mergeCell ref="C258:E258"/>
    <mergeCell ref="F258:H258"/>
    <mergeCell ref="I258:K258"/>
    <mergeCell ref="L258:N258"/>
    <mergeCell ref="O258:X258"/>
    <mergeCell ref="AB258:AH258"/>
    <mergeCell ref="A257:B257"/>
    <mergeCell ref="C257:E257"/>
    <mergeCell ref="F257:H257"/>
    <mergeCell ref="I257:K257"/>
    <mergeCell ref="L257:N257"/>
    <mergeCell ref="O257:X257"/>
    <mergeCell ref="AB255:AH255"/>
    <mergeCell ref="A256:B256"/>
    <mergeCell ref="C256:E256"/>
    <mergeCell ref="F256:H256"/>
    <mergeCell ref="I256:K256"/>
    <mergeCell ref="L256:N256"/>
    <mergeCell ref="O256:X256"/>
    <mergeCell ref="AB256:AH256"/>
    <mergeCell ref="A255:B255"/>
    <mergeCell ref="C255:E255"/>
    <mergeCell ref="F255:H255"/>
    <mergeCell ref="I255:K255"/>
    <mergeCell ref="L255:N255"/>
    <mergeCell ref="O255:X255"/>
    <mergeCell ref="AB261:AH261"/>
    <mergeCell ref="A262:B262"/>
    <mergeCell ref="C262:E262"/>
    <mergeCell ref="F262:H262"/>
    <mergeCell ref="I262:K262"/>
    <mergeCell ref="L262:N262"/>
    <mergeCell ref="O262:X262"/>
    <mergeCell ref="AB262:AH262"/>
    <mergeCell ref="A261:B261"/>
    <mergeCell ref="C261:E261"/>
    <mergeCell ref="F261:H261"/>
    <mergeCell ref="I261:K261"/>
    <mergeCell ref="L261:N261"/>
    <mergeCell ref="O261:X261"/>
    <mergeCell ref="AB259:AH259"/>
    <mergeCell ref="A260:B260"/>
    <mergeCell ref="C260:E260"/>
    <mergeCell ref="F260:H260"/>
    <mergeCell ref="I260:K260"/>
    <mergeCell ref="L260:N260"/>
    <mergeCell ref="O260:X260"/>
    <mergeCell ref="AB260:AH260"/>
    <mergeCell ref="A259:B259"/>
    <mergeCell ref="C259:E259"/>
    <mergeCell ref="F259:H259"/>
    <mergeCell ref="I259:K259"/>
    <mergeCell ref="L259:N259"/>
    <mergeCell ref="O259:X259"/>
    <mergeCell ref="AB265:AH265"/>
    <mergeCell ref="A266:B266"/>
    <mergeCell ref="C266:E266"/>
    <mergeCell ref="F266:H266"/>
    <mergeCell ref="I266:K266"/>
    <mergeCell ref="L266:N266"/>
    <mergeCell ref="O266:X266"/>
    <mergeCell ref="AB266:AH266"/>
    <mergeCell ref="A265:B265"/>
    <mergeCell ref="C265:E265"/>
    <mergeCell ref="F265:H265"/>
    <mergeCell ref="I265:K265"/>
    <mergeCell ref="L265:N265"/>
    <mergeCell ref="O265:X265"/>
    <mergeCell ref="AB263:AH263"/>
    <mergeCell ref="A264:B264"/>
    <mergeCell ref="C264:E264"/>
    <mergeCell ref="F264:H264"/>
    <mergeCell ref="I264:K264"/>
    <mergeCell ref="L264:N264"/>
    <mergeCell ref="O264:X264"/>
    <mergeCell ref="AB264:AH264"/>
    <mergeCell ref="A263:B263"/>
    <mergeCell ref="C263:E263"/>
    <mergeCell ref="F263:H263"/>
    <mergeCell ref="I263:K263"/>
    <mergeCell ref="L263:N263"/>
    <mergeCell ref="O263:X263"/>
    <mergeCell ref="AB269:AH269"/>
    <mergeCell ref="A270:B270"/>
    <mergeCell ref="C270:E270"/>
    <mergeCell ref="F270:H270"/>
    <mergeCell ref="I270:K270"/>
    <mergeCell ref="L270:N270"/>
    <mergeCell ref="O270:X270"/>
    <mergeCell ref="AB270:AH270"/>
    <mergeCell ref="A269:B269"/>
    <mergeCell ref="C269:E269"/>
    <mergeCell ref="F269:H269"/>
    <mergeCell ref="I269:K269"/>
    <mergeCell ref="L269:N269"/>
    <mergeCell ref="O269:X269"/>
    <mergeCell ref="AB267:AH267"/>
    <mergeCell ref="A268:B268"/>
    <mergeCell ref="C268:E268"/>
    <mergeCell ref="F268:H268"/>
    <mergeCell ref="I268:K268"/>
    <mergeCell ref="L268:N268"/>
    <mergeCell ref="O268:X268"/>
    <mergeCell ref="AB268:AH268"/>
    <mergeCell ref="A267:B267"/>
    <mergeCell ref="C267:E267"/>
    <mergeCell ref="F267:H267"/>
    <mergeCell ref="I267:K267"/>
    <mergeCell ref="L267:N267"/>
    <mergeCell ref="O267:X267"/>
    <mergeCell ref="AB273:AH273"/>
    <mergeCell ref="A274:B274"/>
    <mergeCell ref="C274:E274"/>
    <mergeCell ref="F274:H274"/>
    <mergeCell ref="I274:K274"/>
    <mergeCell ref="L274:N274"/>
    <mergeCell ref="O274:X274"/>
    <mergeCell ref="AB274:AH274"/>
    <mergeCell ref="A273:B273"/>
    <mergeCell ref="C273:E273"/>
    <mergeCell ref="F273:H273"/>
    <mergeCell ref="I273:K273"/>
    <mergeCell ref="L273:N273"/>
    <mergeCell ref="O273:X273"/>
    <mergeCell ref="AB271:AH271"/>
    <mergeCell ref="A272:B272"/>
    <mergeCell ref="C272:E272"/>
    <mergeCell ref="F272:H272"/>
    <mergeCell ref="I272:K272"/>
    <mergeCell ref="L272:N272"/>
    <mergeCell ref="O272:X272"/>
    <mergeCell ref="AB272:AH272"/>
    <mergeCell ref="A271:B271"/>
    <mergeCell ref="C271:E271"/>
    <mergeCell ref="F271:H271"/>
    <mergeCell ref="I271:K271"/>
    <mergeCell ref="L271:N271"/>
    <mergeCell ref="O271:X271"/>
    <mergeCell ref="AB277:AH277"/>
    <mergeCell ref="A278:B278"/>
    <mergeCell ref="C278:E278"/>
    <mergeCell ref="F278:H278"/>
    <mergeCell ref="I278:K278"/>
    <mergeCell ref="L278:N278"/>
    <mergeCell ref="O278:X278"/>
    <mergeCell ref="AB278:AH278"/>
    <mergeCell ref="A277:B277"/>
    <mergeCell ref="C277:E277"/>
    <mergeCell ref="F277:H277"/>
    <mergeCell ref="I277:K277"/>
    <mergeCell ref="L277:N277"/>
    <mergeCell ref="O277:X277"/>
    <mergeCell ref="AB275:AH275"/>
    <mergeCell ref="A276:B276"/>
    <mergeCell ref="C276:E276"/>
    <mergeCell ref="F276:H276"/>
    <mergeCell ref="I276:K276"/>
    <mergeCell ref="L276:N276"/>
    <mergeCell ref="O276:X276"/>
    <mergeCell ref="AB276:AH276"/>
    <mergeCell ref="A275:B275"/>
    <mergeCell ref="C275:E275"/>
    <mergeCell ref="F275:H275"/>
    <mergeCell ref="I275:K275"/>
    <mergeCell ref="L275:N275"/>
    <mergeCell ref="O275:X275"/>
    <mergeCell ref="AB281:AH281"/>
    <mergeCell ref="A282:B282"/>
    <mergeCell ref="C282:E282"/>
    <mergeCell ref="F282:H282"/>
    <mergeCell ref="I282:K282"/>
    <mergeCell ref="L282:N282"/>
    <mergeCell ref="O282:X282"/>
    <mergeCell ref="AB282:AH282"/>
    <mergeCell ref="A281:B281"/>
    <mergeCell ref="C281:E281"/>
    <mergeCell ref="F281:H281"/>
    <mergeCell ref="I281:K281"/>
    <mergeCell ref="L281:N281"/>
    <mergeCell ref="O281:X281"/>
    <mergeCell ref="AB279:AH279"/>
    <mergeCell ref="A280:B280"/>
    <mergeCell ref="C280:E280"/>
    <mergeCell ref="F280:H280"/>
    <mergeCell ref="I280:K280"/>
    <mergeCell ref="L280:N280"/>
    <mergeCell ref="O280:X280"/>
    <mergeCell ref="AB280:AH280"/>
    <mergeCell ref="A279:B279"/>
    <mergeCell ref="C279:E279"/>
    <mergeCell ref="F279:H279"/>
    <mergeCell ref="I279:K279"/>
    <mergeCell ref="L279:N279"/>
    <mergeCell ref="O279:X279"/>
    <mergeCell ref="AB285:AH285"/>
    <mergeCell ref="A286:B286"/>
    <mergeCell ref="C286:E286"/>
    <mergeCell ref="F286:H286"/>
    <mergeCell ref="I286:K286"/>
    <mergeCell ref="L286:N286"/>
    <mergeCell ref="O286:X286"/>
    <mergeCell ref="AB286:AH286"/>
    <mergeCell ref="A285:B285"/>
    <mergeCell ref="C285:E285"/>
    <mergeCell ref="F285:H285"/>
    <mergeCell ref="I285:K285"/>
    <mergeCell ref="L285:N285"/>
    <mergeCell ref="O285:X285"/>
    <mergeCell ref="AB283:AH283"/>
    <mergeCell ref="A284:B284"/>
    <mergeCell ref="C284:E284"/>
    <mergeCell ref="F284:H284"/>
    <mergeCell ref="I284:K284"/>
    <mergeCell ref="L284:N284"/>
    <mergeCell ref="O284:X284"/>
    <mergeCell ref="AB284:AH284"/>
    <mergeCell ref="A283:B283"/>
    <mergeCell ref="C283:E283"/>
    <mergeCell ref="F283:H283"/>
    <mergeCell ref="I283:K283"/>
    <mergeCell ref="L283:N283"/>
    <mergeCell ref="O283:X283"/>
    <mergeCell ref="AB289:AH289"/>
    <mergeCell ref="A290:B290"/>
    <mergeCell ref="C290:E290"/>
    <mergeCell ref="F290:H290"/>
    <mergeCell ref="I290:K290"/>
    <mergeCell ref="L290:N290"/>
    <mergeCell ref="O290:X290"/>
    <mergeCell ref="AB290:AH290"/>
    <mergeCell ref="A289:B289"/>
    <mergeCell ref="C289:E289"/>
    <mergeCell ref="F289:H289"/>
    <mergeCell ref="I289:K289"/>
    <mergeCell ref="L289:N289"/>
    <mergeCell ref="O289:X289"/>
    <mergeCell ref="AB287:AH287"/>
    <mergeCell ref="A288:B288"/>
    <mergeCell ref="C288:E288"/>
    <mergeCell ref="F288:H288"/>
    <mergeCell ref="I288:K288"/>
    <mergeCell ref="L288:N288"/>
    <mergeCell ref="O288:X288"/>
    <mergeCell ref="AB288:AH288"/>
    <mergeCell ref="A287:B287"/>
    <mergeCell ref="C287:E287"/>
    <mergeCell ref="F287:H287"/>
    <mergeCell ref="I287:K287"/>
    <mergeCell ref="L287:N287"/>
    <mergeCell ref="O287:X287"/>
    <mergeCell ref="AB293:AH293"/>
    <mergeCell ref="A294:B294"/>
    <mergeCell ref="C294:E294"/>
    <mergeCell ref="F294:H294"/>
    <mergeCell ref="I294:K294"/>
    <mergeCell ref="L294:N294"/>
    <mergeCell ref="O294:X294"/>
    <mergeCell ref="AB294:AH294"/>
    <mergeCell ref="A293:B293"/>
    <mergeCell ref="C293:E293"/>
    <mergeCell ref="F293:H293"/>
    <mergeCell ref="I293:K293"/>
    <mergeCell ref="L293:N293"/>
    <mergeCell ref="O293:X293"/>
    <mergeCell ref="AB291:AH291"/>
    <mergeCell ref="A292:B292"/>
    <mergeCell ref="C292:E292"/>
    <mergeCell ref="F292:H292"/>
    <mergeCell ref="I292:K292"/>
    <mergeCell ref="L292:N292"/>
    <mergeCell ref="O292:X292"/>
    <mergeCell ref="AB292:AH292"/>
    <mergeCell ref="A291:B291"/>
    <mergeCell ref="C291:E291"/>
    <mergeCell ref="F291:H291"/>
    <mergeCell ref="I291:K291"/>
    <mergeCell ref="L291:N291"/>
    <mergeCell ref="O291:X291"/>
    <mergeCell ref="AB297:AH297"/>
    <mergeCell ref="A298:B298"/>
    <mergeCell ref="C298:E298"/>
    <mergeCell ref="F298:H298"/>
    <mergeCell ref="I298:K298"/>
    <mergeCell ref="L298:N298"/>
    <mergeCell ref="O298:X298"/>
    <mergeCell ref="AB298:AH298"/>
    <mergeCell ref="A297:B297"/>
    <mergeCell ref="C297:E297"/>
    <mergeCell ref="F297:H297"/>
    <mergeCell ref="I297:K297"/>
    <mergeCell ref="L297:N297"/>
    <mergeCell ref="O297:X297"/>
    <mergeCell ref="AB295:AH295"/>
    <mergeCell ref="A296:B296"/>
    <mergeCell ref="C296:E296"/>
    <mergeCell ref="F296:H296"/>
    <mergeCell ref="I296:K296"/>
    <mergeCell ref="L296:N296"/>
    <mergeCell ref="O296:X296"/>
    <mergeCell ref="AB296:AH296"/>
    <mergeCell ref="A295:B295"/>
    <mergeCell ref="C295:E295"/>
    <mergeCell ref="F295:H295"/>
    <mergeCell ref="I295:K295"/>
    <mergeCell ref="L295:N295"/>
    <mergeCell ref="O295:X295"/>
    <mergeCell ref="AB301:AH301"/>
    <mergeCell ref="A302:B302"/>
    <mergeCell ref="C302:E302"/>
    <mergeCell ref="F302:H302"/>
    <mergeCell ref="I302:K302"/>
    <mergeCell ref="L302:N302"/>
    <mergeCell ref="O302:X302"/>
    <mergeCell ref="AB302:AH302"/>
    <mergeCell ref="A301:B301"/>
    <mergeCell ref="C301:E301"/>
    <mergeCell ref="F301:H301"/>
    <mergeCell ref="I301:K301"/>
    <mergeCell ref="L301:N301"/>
    <mergeCell ref="O301:X301"/>
    <mergeCell ref="AB299:AH299"/>
    <mergeCell ref="A300:B300"/>
    <mergeCell ref="C300:E300"/>
    <mergeCell ref="F300:H300"/>
    <mergeCell ref="I300:K300"/>
    <mergeCell ref="L300:N300"/>
    <mergeCell ref="O300:X300"/>
    <mergeCell ref="AB300:AH300"/>
    <mergeCell ref="A299:B299"/>
    <mergeCell ref="C299:E299"/>
    <mergeCell ref="F299:H299"/>
    <mergeCell ref="I299:K299"/>
    <mergeCell ref="L299:N299"/>
    <mergeCell ref="O299:X299"/>
    <mergeCell ref="AB305:AH305"/>
    <mergeCell ref="A306:B306"/>
    <mergeCell ref="C306:E306"/>
    <mergeCell ref="F306:H306"/>
    <mergeCell ref="I306:K306"/>
    <mergeCell ref="L306:N306"/>
    <mergeCell ref="O306:X306"/>
    <mergeCell ref="AB306:AH306"/>
    <mergeCell ref="A305:B305"/>
    <mergeCell ref="C305:E305"/>
    <mergeCell ref="F305:H305"/>
    <mergeCell ref="I305:K305"/>
    <mergeCell ref="L305:N305"/>
    <mergeCell ref="O305:X305"/>
    <mergeCell ref="AB303:AH303"/>
    <mergeCell ref="A304:B304"/>
    <mergeCell ref="C304:E304"/>
    <mergeCell ref="F304:H304"/>
    <mergeCell ref="I304:K304"/>
    <mergeCell ref="L304:N304"/>
    <mergeCell ref="O304:X304"/>
    <mergeCell ref="AB304:AH304"/>
    <mergeCell ref="A303:B303"/>
    <mergeCell ref="C303:E303"/>
    <mergeCell ref="F303:H303"/>
    <mergeCell ref="I303:K303"/>
    <mergeCell ref="L303:N303"/>
    <mergeCell ref="O303:X303"/>
    <mergeCell ref="AB309:AH309"/>
    <mergeCell ref="A310:B310"/>
    <mergeCell ref="C310:E310"/>
    <mergeCell ref="F310:H310"/>
    <mergeCell ref="I310:K310"/>
    <mergeCell ref="L310:N310"/>
    <mergeCell ref="O310:X310"/>
    <mergeCell ref="AB310:AH310"/>
    <mergeCell ref="A309:B309"/>
    <mergeCell ref="C309:E309"/>
    <mergeCell ref="F309:H309"/>
    <mergeCell ref="I309:K309"/>
    <mergeCell ref="L309:N309"/>
    <mergeCell ref="O309:X309"/>
    <mergeCell ref="AB307:AH307"/>
    <mergeCell ref="A308:B308"/>
    <mergeCell ref="C308:E308"/>
    <mergeCell ref="F308:H308"/>
    <mergeCell ref="I308:K308"/>
    <mergeCell ref="L308:N308"/>
    <mergeCell ref="O308:X308"/>
    <mergeCell ref="AB308:AH308"/>
    <mergeCell ref="A307:B307"/>
    <mergeCell ref="C307:E307"/>
    <mergeCell ref="F307:H307"/>
    <mergeCell ref="I307:K307"/>
    <mergeCell ref="L307:N307"/>
    <mergeCell ref="O307:X307"/>
    <mergeCell ref="AB313:AH313"/>
    <mergeCell ref="A314:B314"/>
    <mergeCell ref="C314:E314"/>
    <mergeCell ref="F314:H314"/>
    <mergeCell ref="I314:K314"/>
    <mergeCell ref="L314:N314"/>
    <mergeCell ref="O314:X314"/>
    <mergeCell ref="AB314:AH314"/>
    <mergeCell ref="A313:B313"/>
    <mergeCell ref="C313:E313"/>
    <mergeCell ref="F313:H313"/>
    <mergeCell ref="I313:K313"/>
    <mergeCell ref="L313:N313"/>
    <mergeCell ref="O313:X313"/>
    <mergeCell ref="AB311:AH311"/>
    <mergeCell ref="A312:B312"/>
    <mergeCell ref="C312:E312"/>
    <mergeCell ref="F312:H312"/>
    <mergeCell ref="I312:K312"/>
    <mergeCell ref="L312:N312"/>
    <mergeCell ref="O312:X312"/>
    <mergeCell ref="AB312:AH312"/>
    <mergeCell ref="A311:B311"/>
    <mergeCell ref="C311:E311"/>
    <mergeCell ref="F311:H311"/>
    <mergeCell ref="I311:K311"/>
    <mergeCell ref="L311:N311"/>
    <mergeCell ref="O311:X311"/>
    <mergeCell ref="AB317:AH317"/>
    <mergeCell ref="A318:B318"/>
    <mergeCell ref="C318:E318"/>
    <mergeCell ref="F318:H318"/>
    <mergeCell ref="I318:K318"/>
    <mergeCell ref="L318:N318"/>
    <mergeCell ref="O318:X318"/>
    <mergeCell ref="AB318:AH318"/>
    <mergeCell ref="A317:B317"/>
    <mergeCell ref="C317:E317"/>
    <mergeCell ref="F317:H317"/>
    <mergeCell ref="I317:K317"/>
    <mergeCell ref="L317:N317"/>
    <mergeCell ref="O317:X317"/>
    <mergeCell ref="AB315:AH315"/>
    <mergeCell ref="A316:B316"/>
    <mergeCell ref="C316:E316"/>
    <mergeCell ref="F316:H316"/>
    <mergeCell ref="I316:K316"/>
    <mergeCell ref="L316:N316"/>
    <mergeCell ref="O316:X316"/>
    <mergeCell ref="AB316:AH316"/>
    <mergeCell ref="A315:B315"/>
    <mergeCell ref="C315:E315"/>
    <mergeCell ref="F315:H315"/>
    <mergeCell ref="I315:K315"/>
    <mergeCell ref="L315:N315"/>
    <mergeCell ref="O315:X315"/>
    <mergeCell ref="AB321:AH321"/>
    <mergeCell ref="A322:B322"/>
    <mergeCell ref="C322:E322"/>
    <mergeCell ref="F322:H322"/>
    <mergeCell ref="I322:K322"/>
    <mergeCell ref="L322:N322"/>
    <mergeCell ref="O322:X322"/>
    <mergeCell ref="AB322:AH322"/>
    <mergeCell ref="A321:B321"/>
    <mergeCell ref="C321:E321"/>
    <mergeCell ref="F321:H321"/>
    <mergeCell ref="I321:K321"/>
    <mergeCell ref="L321:N321"/>
    <mergeCell ref="O321:X321"/>
    <mergeCell ref="AB319:AH319"/>
    <mergeCell ref="A320:B320"/>
    <mergeCell ref="C320:E320"/>
    <mergeCell ref="F320:H320"/>
    <mergeCell ref="I320:K320"/>
    <mergeCell ref="L320:N320"/>
    <mergeCell ref="O320:X320"/>
    <mergeCell ref="AB320:AH320"/>
    <mergeCell ref="A319:B319"/>
    <mergeCell ref="C319:E319"/>
    <mergeCell ref="F319:H319"/>
    <mergeCell ref="I319:K319"/>
    <mergeCell ref="L319:N319"/>
    <mergeCell ref="O319:X319"/>
    <mergeCell ref="AB325:AH325"/>
    <mergeCell ref="A326:B326"/>
    <mergeCell ref="C326:E326"/>
    <mergeCell ref="F326:H326"/>
    <mergeCell ref="I326:K326"/>
    <mergeCell ref="L326:N326"/>
    <mergeCell ref="O326:X326"/>
    <mergeCell ref="AB326:AH326"/>
    <mergeCell ref="A325:B325"/>
    <mergeCell ref="C325:E325"/>
    <mergeCell ref="F325:H325"/>
    <mergeCell ref="I325:K325"/>
    <mergeCell ref="L325:N325"/>
    <mergeCell ref="O325:X325"/>
    <mergeCell ref="AB323:AH323"/>
    <mergeCell ref="A324:B324"/>
    <mergeCell ref="C324:E324"/>
    <mergeCell ref="F324:H324"/>
    <mergeCell ref="I324:K324"/>
    <mergeCell ref="L324:N324"/>
    <mergeCell ref="O324:X324"/>
    <mergeCell ref="AB324:AH324"/>
    <mergeCell ref="A323:B323"/>
    <mergeCell ref="C323:E323"/>
    <mergeCell ref="F323:H323"/>
    <mergeCell ref="I323:K323"/>
    <mergeCell ref="L323:N323"/>
    <mergeCell ref="O323:X323"/>
    <mergeCell ref="AB329:AH329"/>
    <mergeCell ref="A330:B330"/>
    <mergeCell ref="C330:E330"/>
    <mergeCell ref="F330:H330"/>
    <mergeCell ref="I330:K330"/>
    <mergeCell ref="L330:N330"/>
    <mergeCell ref="O330:X330"/>
    <mergeCell ref="AB330:AH330"/>
    <mergeCell ref="A329:B329"/>
    <mergeCell ref="C329:E329"/>
    <mergeCell ref="F329:H329"/>
    <mergeCell ref="I329:K329"/>
    <mergeCell ref="L329:N329"/>
    <mergeCell ref="O329:X329"/>
    <mergeCell ref="AB327:AH327"/>
    <mergeCell ref="A328:B328"/>
    <mergeCell ref="C328:E328"/>
    <mergeCell ref="F328:H328"/>
    <mergeCell ref="I328:K328"/>
    <mergeCell ref="L328:N328"/>
    <mergeCell ref="O328:X328"/>
    <mergeCell ref="AB328:AH328"/>
    <mergeCell ref="A327:B327"/>
    <mergeCell ref="C327:E327"/>
    <mergeCell ref="F327:H327"/>
    <mergeCell ref="I327:K327"/>
    <mergeCell ref="L327:N327"/>
    <mergeCell ref="O327:X327"/>
    <mergeCell ref="AB333:AH333"/>
    <mergeCell ref="A334:B334"/>
    <mergeCell ref="C334:E334"/>
    <mergeCell ref="F334:H334"/>
    <mergeCell ref="I334:K334"/>
    <mergeCell ref="L334:N334"/>
    <mergeCell ref="O334:X334"/>
    <mergeCell ref="AB334:AH334"/>
    <mergeCell ref="A333:B333"/>
    <mergeCell ref="C333:E333"/>
    <mergeCell ref="F333:H333"/>
    <mergeCell ref="I333:K333"/>
    <mergeCell ref="L333:N333"/>
    <mergeCell ref="O333:X333"/>
    <mergeCell ref="AB331:AH331"/>
    <mergeCell ref="A332:B332"/>
    <mergeCell ref="C332:E332"/>
    <mergeCell ref="F332:H332"/>
    <mergeCell ref="I332:K332"/>
    <mergeCell ref="L332:N332"/>
    <mergeCell ref="O332:X332"/>
    <mergeCell ref="AB332:AH332"/>
    <mergeCell ref="A331:B331"/>
    <mergeCell ref="C331:E331"/>
    <mergeCell ref="F331:H331"/>
    <mergeCell ref="I331:K331"/>
    <mergeCell ref="L331:N331"/>
    <mergeCell ref="O331:X331"/>
    <mergeCell ref="AB337:AH337"/>
    <mergeCell ref="A338:B338"/>
    <mergeCell ref="C338:E338"/>
    <mergeCell ref="F338:H338"/>
    <mergeCell ref="I338:K338"/>
    <mergeCell ref="L338:N338"/>
    <mergeCell ref="O338:X338"/>
    <mergeCell ref="AB338:AH338"/>
    <mergeCell ref="A337:B337"/>
    <mergeCell ref="C337:E337"/>
    <mergeCell ref="F337:H337"/>
    <mergeCell ref="I337:K337"/>
    <mergeCell ref="L337:N337"/>
    <mergeCell ref="O337:X337"/>
    <mergeCell ref="AB335:AH335"/>
    <mergeCell ref="A336:B336"/>
    <mergeCell ref="C336:E336"/>
    <mergeCell ref="F336:H336"/>
    <mergeCell ref="I336:K336"/>
    <mergeCell ref="L336:N336"/>
    <mergeCell ref="O336:X336"/>
    <mergeCell ref="AB336:AH336"/>
    <mergeCell ref="A335:B335"/>
    <mergeCell ref="C335:E335"/>
    <mergeCell ref="F335:H335"/>
    <mergeCell ref="I335:K335"/>
    <mergeCell ref="L335:N335"/>
    <mergeCell ref="O335:X335"/>
    <mergeCell ref="AB341:AH341"/>
    <mergeCell ref="A342:B342"/>
    <mergeCell ref="C342:E342"/>
    <mergeCell ref="F342:H342"/>
    <mergeCell ref="I342:K342"/>
    <mergeCell ref="L342:N342"/>
    <mergeCell ref="O342:X342"/>
    <mergeCell ref="AB342:AH342"/>
    <mergeCell ref="A341:B341"/>
    <mergeCell ref="C341:E341"/>
    <mergeCell ref="F341:H341"/>
    <mergeCell ref="I341:K341"/>
    <mergeCell ref="L341:N341"/>
    <mergeCell ref="O341:X341"/>
    <mergeCell ref="AB339:AH339"/>
    <mergeCell ref="A340:B340"/>
    <mergeCell ref="C340:E340"/>
    <mergeCell ref="F340:H340"/>
    <mergeCell ref="I340:K340"/>
    <mergeCell ref="L340:N340"/>
    <mergeCell ref="O340:X340"/>
    <mergeCell ref="AB340:AH340"/>
    <mergeCell ref="A339:B339"/>
    <mergeCell ref="C339:E339"/>
    <mergeCell ref="F339:H339"/>
    <mergeCell ref="I339:K339"/>
    <mergeCell ref="L339:N339"/>
    <mergeCell ref="O339:X339"/>
    <mergeCell ref="AB345:AH345"/>
    <mergeCell ref="A346:B346"/>
    <mergeCell ref="C346:E346"/>
    <mergeCell ref="F346:H346"/>
    <mergeCell ref="I346:K346"/>
    <mergeCell ref="L346:N346"/>
    <mergeCell ref="O346:X346"/>
    <mergeCell ref="AB346:AH346"/>
    <mergeCell ref="A345:B345"/>
    <mergeCell ref="C345:E345"/>
    <mergeCell ref="F345:H345"/>
    <mergeCell ref="I345:K345"/>
    <mergeCell ref="L345:N345"/>
    <mergeCell ref="O345:X345"/>
    <mergeCell ref="AB343:AH343"/>
    <mergeCell ref="A344:B344"/>
    <mergeCell ref="C344:E344"/>
    <mergeCell ref="F344:H344"/>
    <mergeCell ref="I344:K344"/>
    <mergeCell ref="L344:N344"/>
    <mergeCell ref="O344:X344"/>
    <mergeCell ref="AB344:AH344"/>
    <mergeCell ref="A343:B343"/>
    <mergeCell ref="C343:E343"/>
    <mergeCell ref="F343:H343"/>
    <mergeCell ref="I343:K343"/>
    <mergeCell ref="L343:N343"/>
    <mergeCell ref="O343:X343"/>
    <mergeCell ref="AB349:AH349"/>
    <mergeCell ref="A350:B350"/>
    <mergeCell ref="C350:E350"/>
    <mergeCell ref="F350:H350"/>
    <mergeCell ref="I350:K350"/>
    <mergeCell ref="L350:N350"/>
    <mergeCell ref="O350:X350"/>
    <mergeCell ref="AB350:AH350"/>
    <mergeCell ref="A349:B349"/>
    <mergeCell ref="C349:E349"/>
    <mergeCell ref="F349:H349"/>
    <mergeCell ref="I349:K349"/>
    <mergeCell ref="L349:N349"/>
    <mergeCell ref="O349:X349"/>
    <mergeCell ref="AB347:AH347"/>
    <mergeCell ref="A348:B348"/>
    <mergeCell ref="C348:E348"/>
    <mergeCell ref="F348:H348"/>
    <mergeCell ref="I348:K348"/>
    <mergeCell ref="L348:N348"/>
    <mergeCell ref="O348:X348"/>
    <mergeCell ref="AB348:AH348"/>
    <mergeCell ref="A347:B347"/>
    <mergeCell ref="C347:E347"/>
    <mergeCell ref="F347:H347"/>
    <mergeCell ref="I347:K347"/>
    <mergeCell ref="L347:N347"/>
    <mergeCell ref="O347:X347"/>
    <mergeCell ref="AB353:AH353"/>
    <mergeCell ref="A354:B354"/>
    <mergeCell ref="C354:E354"/>
    <mergeCell ref="F354:H354"/>
    <mergeCell ref="I354:K354"/>
    <mergeCell ref="L354:N354"/>
    <mergeCell ref="O354:X354"/>
    <mergeCell ref="AB354:AH354"/>
    <mergeCell ref="A353:B353"/>
    <mergeCell ref="C353:E353"/>
    <mergeCell ref="F353:H353"/>
    <mergeCell ref="I353:K353"/>
    <mergeCell ref="L353:N353"/>
    <mergeCell ref="O353:X353"/>
    <mergeCell ref="AB351:AH351"/>
    <mergeCell ref="A352:B352"/>
    <mergeCell ref="C352:E352"/>
    <mergeCell ref="F352:H352"/>
    <mergeCell ref="I352:K352"/>
    <mergeCell ref="L352:N352"/>
    <mergeCell ref="O352:X352"/>
    <mergeCell ref="AB352:AH352"/>
    <mergeCell ref="A351:B351"/>
    <mergeCell ref="C351:E351"/>
    <mergeCell ref="F351:H351"/>
    <mergeCell ref="I351:K351"/>
    <mergeCell ref="L351:N351"/>
    <mergeCell ref="O351:X351"/>
    <mergeCell ref="AB357:AH357"/>
    <mergeCell ref="A358:B358"/>
    <mergeCell ref="C358:E358"/>
    <mergeCell ref="F358:H358"/>
    <mergeCell ref="I358:K358"/>
    <mergeCell ref="L358:N358"/>
    <mergeCell ref="O358:X358"/>
    <mergeCell ref="AB358:AH358"/>
    <mergeCell ref="A357:B357"/>
    <mergeCell ref="C357:E357"/>
    <mergeCell ref="F357:H357"/>
    <mergeCell ref="I357:K357"/>
    <mergeCell ref="L357:N357"/>
    <mergeCell ref="O357:X357"/>
    <mergeCell ref="AB355:AH355"/>
    <mergeCell ref="A356:B356"/>
    <mergeCell ref="C356:E356"/>
    <mergeCell ref="F356:H356"/>
    <mergeCell ref="I356:K356"/>
    <mergeCell ref="L356:N356"/>
    <mergeCell ref="O356:X356"/>
    <mergeCell ref="AB356:AH356"/>
    <mergeCell ref="A355:B355"/>
    <mergeCell ref="C355:E355"/>
    <mergeCell ref="F355:H355"/>
    <mergeCell ref="I355:K355"/>
    <mergeCell ref="L355:N355"/>
    <mergeCell ref="O355:X355"/>
    <mergeCell ref="AB361:AH361"/>
    <mergeCell ref="A362:B362"/>
    <mergeCell ref="C362:E362"/>
    <mergeCell ref="F362:H362"/>
    <mergeCell ref="I362:K362"/>
    <mergeCell ref="L362:N362"/>
    <mergeCell ref="O362:X362"/>
    <mergeCell ref="AB362:AH362"/>
    <mergeCell ref="A361:B361"/>
    <mergeCell ref="C361:E361"/>
    <mergeCell ref="F361:H361"/>
    <mergeCell ref="I361:K361"/>
    <mergeCell ref="L361:N361"/>
    <mergeCell ref="O361:X361"/>
    <mergeCell ref="AB359:AH359"/>
    <mergeCell ref="A360:B360"/>
    <mergeCell ref="C360:E360"/>
    <mergeCell ref="F360:H360"/>
    <mergeCell ref="I360:K360"/>
    <mergeCell ref="L360:N360"/>
    <mergeCell ref="O360:X360"/>
    <mergeCell ref="AB360:AH360"/>
    <mergeCell ref="A359:B359"/>
    <mergeCell ref="C359:E359"/>
    <mergeCell ref="F359:H359"/>
    <mergeCell ref="I359:K359"/>
    <mergeCell ref="L359:N359"/>
    <mergeCell ref="O359:X359"/>
    <mergeCell ref="AB365:AH365"/>
    <mergeCell ref="A366:B366"/>
    <mergeCell ref="C366:E366"/>
    <mergeCell ref="F366:H366"/>
    <mergeCell ref="I366:K366"/>
    <mergeCell ref="L366:N366"/>
    <mergeCell ref="O366:X366"/>
    <mergeCell ref="AB366:AH366"/>
    <mergeCell ref="A365:B365"/>
    <mergeCell ref="C365:E365"/>
    <mergeCell ref="F365:H365"/>
    <mergeCell ref="I365:K365"/>
    <mergeCell ref="L365:N365"/>
    <mergeCell ref="O365:X365"/>
    <mergeCell ref="AB363:AH363"/>
    <mergeCell ref="A364:B364"/>
    <mergeCell ref="C364:E364"/>
    <mergeCell ref="F364:H364"/>
    <mergeCell ref="I364:K364"/>
    <mergeCell ref="L364:N364"/>
    <mergeCell ref="O364:X364"/>
    <mergeCell ref="AB364:AH364"/>
    <mergeCell ref="A363:B363"/>
    <mergeCell ref="C363:E363"/>
    <mergeCell ref="F363:H363"/>
    <mergeCell ref="I363:K363"/>
    <mergeCell ref="L363:N363"/>
    <mergeCell ref="O363:X363"/>
    <mergeCell ref="AB369:AH369"/>
    <mergeCell ref="A370:B370"/>
    <mergeCell ref="C370:E370"/>
    <mergeCell ref="F370:H370"/>
    <mergeCell ref="I370:K370"/>
    <mergeCell ref="L370:N370"/>
    <mergeCell ref="O370:X370"/>
    <mergeCell ref="AB370:AH370"/>
    <mergeCell ref="A369:B369"/>
    <mergeCell ref="C369:E369"/>
    <mergeCell ref="F369:H369"/>
    <mergeCell ref="I369:K369"/>
    <mergeCell ref="L369:N369"/>
    <mergeCell ref="O369:X369"/>
    <mergeCell ref="AB367:AH367"/>
    <mergeCell ref="A368:B368"/>
    <mergeCell ref="C368:E368"/>
    <mergeCell ref="F368:H368"/>
    <mergeCell ref="I368:K368"/>
    <mergeCell ref="L368:N368"/>
    <mergeCell ref="O368:X368"/>
    <mergeCell ref="AB368:AH368"/>
    <mergeCell ref="A367:B367"/>
    <mergeCell ref="C367:E367"/>
    <mergeCell ref="F367:H367"/>
    <mergeCell ref="I367:K367"/>
    <mergeCell ref="L367:N367"/>
    <mergeCell ref="O367:X367"/>
    <mergeCell ref="AB373:AH373"/>
    <mergeCell ref="A374:B374"/>
    <mergeCell ref="C374:E374"/>
    <mergeCell ref="F374:H374"/>
    <mergeCell ref="I374:K374"/>
    <mergeCell ref="L374:N374"/>
    <mergeCell ref="O374:X374"/>
    <mergeCell ref="AB374:AH374"/>
    <mergeCell ref="A373:B373"/>
    <mergeCell ref="C373:E373"/>
    <mergeCell ref="F373:H373"/>
    <mergeCell ref="I373:K373"/>
    <mergeCell ref="L373:N373"/>
    <mergeCell ref="O373:X373"/>
    <mergeCell ref="AB371:AH371"/>
    <mergeCell ref="A372:B372"/>
    <mergeCell ref="C372:E372"/>
    <mergeCell ref="F372:H372"/>
    <mergeCell ref="I372:K372"/>
    <mergeCell ref="L372:N372"/>
    <mergeCell ref="O372:X372"/>
    <mergeCell ref="AB372:AH372"/>
    <mergeCell ref="A371:B371"/>
    <mergeCell ref="C371:E371"/>
    <mergeCell ref="F371:H371"/>
    <mergeCell ref="I371:K371"/>
    <mergeCell ref="L371:N371"/>
    <mergeCell ref="O371:X371"/>
    <mergeCell ref="AB377:AH377"/>
    <mergeCell ref="A378:B378"/>
    <mergeCell ref="C378:E378"/>
    <mergeCell ref="F378:H378"/>
    <mergeCell ref="I378:K378"/>
    <mergeCell ref="L378:N378"/>
    <mergeCell ref="O378:X378"/>
    <mergeCell ref="AB378:AH378"/>
    <mergeCell ref="A377:B377"/>
    <mergeCell ref="C377:E377"/>
    <mergeCell ref="F377:H377"/>
    <mergeCell ref="I377:K377"/>
    <mergeCell ref="L377:N377"/>
    <mergeCell ref="O377:X377"/>
    <mergeCell ref="AB375:AH375"/>
    <mergeCell ref="A376:B376"/>
    <mergeCell ref="C376:E376"/>
    <mergeCell ref="F376:H376"/>
    <mergeCell ref="I376:K376"/>
    <mergeCell ref="L376:N376"/>
    <mergeCell ref="O376:X376"/>
    <mergeCell ref="AB376:AH376"/>
    <mergeCell ref="A375:B375"/>
    <mergeCell ref="C375:E375"/>
    <mergeCell ref="F375:H375"/>
    <mergeCell ref="I375:K375"/>
    <mergeCell ref="L375:N375"/>
    <mergeCell ref="O375:X375"/>
    <mergeCell ref="AB381:AH381"/>
    <mergeCell ref="A382:B382"/>
    <mergeCell ref="C382:E382"/>
    <mergeCell ref="F382:H382"/>
    <mergeCell ref="I382:K382"/>
    <mergeCell ref="L382:N382"/>
    <mergeCell ref="O382:X382"/>
    <mergeCell ref="AB382:AH382"/>
    <mergeCell ref="A381:B381"/>
    <mergeCell ref="C381:E381"/>
    <mergeCell ref="F381:H381"/>
    <mergeCell ref="I381:K381"/>
    <mergeCell ref="L381:N381"/>
    <mergeCell ref="O381:X381"/>
    <mergeCell ref="AB379:AH379"/>
    <mergeCell ref="A380:B380"/>
    <mergeCell ref="C380:E380"/>
    <mergeCell ref="F380:H380"/>
    <mergeCell ref="I380:K380"/>
    <mergeCell ref="L380:N380"/>
    <mergeCell ref="O380:X380"/>
    <mergeCell ref="AB380:AH380"/>
    <mergeCell ref="A379:B379"/>
    <mergeCell ref="C379:E379"/>
    <mergeCell ref="F379:H379"/>
    <mergeCell ref="I379:K379"/>
    <mergeCell ref="L379:N379"/>
    <mergeCell ref="O379:X379"/>
  </mergeCells>
  <phoneticPr fontId="2"/>
  <conditionalFormatting sqref="A7:B382">
    <cfRule type="expression" dxfId="3" priority="8">
      <formula>WEEKDAY(A7)=1</formula>
    </cfRule>
    <cfRule type="expression" dxfId="2" priority="9">
      <formula>WEEKDAY(A7)=7</formula>
    </cfRule>
  </conditionalFormatting>
  <dataValidations count="1">
    <dataValidation type="list" allowBlank="1" showInputMessage="1" showErrorMessage="1" sqref="L7:N382" xr:uid="{D0E2F5B0-549A-420B-B263-BCB66D011CFD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B30F408-D331-4FC7-9A0B-61C0602011FC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" id="{CE8F45CB-7E8F-4101-BEFB-3F43BE47C21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2E6-B83C-4B04-AFA8-C00122E0D58F}">
  <sheetPr codeName="sh_holiday"/>
  <dimension ref="B2:G19"/>
  <sheetViews>
    <sheetView workbookViewId="0">
      <selection activeCell="I16" sqref="I16"/>
    </sheetView>
  </sheetViews>
  <sheetFormatPr defaultRowHeight="18.75" x14ac:dyDescent="0.4"/>
  <cols>
    <col min="2" max="2" width="11.25" style="1" bestFit="1" customWidth="1"/>
    <col min="3" max="4" width="8.75" style="1"/>
    <col min="7" max="7" width="10.25" bestFit="1" customWidth="1"/>
  </cols>
  <sheetData>
    <row r="2" spans="2:7" ht="19.5" thickBot="1" x14ac:dyDescent="0.45"/>
    <row r="3" spans="2:7" ht="19.5" thickBot="1" x14ac:dyDescent="0.45">
      <c r="B3" s="8">
        <v>46023</v>
      </c>
      <c r="C3" s="3" t="s">
        <v>13</v>
      </c>
      <c r="D3" s="3" t="s">
        <v>14</v>
      </c>
      <c r="E3" s="4"/>
      <c r="G3" t="s">
        <v>57</v>
      </c>
    </row>
    <row r="4" spans="2:7" ht="19.5" thickBot="1" x14ac:dyDescent="0.45">
      <c r="B4" s="8">
        <v>46045</v>
      </c>
      <c r="C4" s="5" t="s">
        <v>15</v>
      </c>
      <c r="D4" s="5" t="s">
        <v>16</v>
      </c>
      <c r="E4" s="6"/>
    </row>
    <row r="5" spans="2:7" ht="19.5" thickBot="1" x14ac:dyDescent="0.45">
      <c r="B5" s="8">
        <v>45699</v>
      </c>
      <c r="C5" s="3" t="s">
        <v>17</v>
      </c>
      <c r="D5" s="3" t="s">
        <v>18</v>
      </c>
      <c r="E5" s="4"/>
    </row>
    <row r="6" spans="2:7" x14ac:dyDescent="0.4">
      <c r="B6" s="8">
        <v>46076</v>
      </c>
      <c r="C6" s="5" t="s">
        <v>15</v>
      </c>
      <c r="D6" s="5" t="s">
        <v>19</v>
      </c>
      <c r="E6" s="6"/>
    </row>
    <row r="7" spans="2:7" ht="19.5" thickBot="1" x14ac:dyDescent="0.45">
      <c r="B7" s="8">
        <v>46101</v>
      </c>
      <c r="C7" s="5" t="s">
        <v>20</v>
      </c>
      <c r="D7" s="5" t="s">
        <v>21</v>
      </c>
      <c r="E7" s="6"/>
    </row>
    <row r="8" spans="2:7" ht="19.5" thickBot="1" x14ac:dyDescent="0.45">
      <c r="B8" s="2">
        <v>46141</v>
      </c>
      <c r="C8" s="3" t="s">
        <v>17</v>
      </c>
      <c r="D8" s="3" t="s">
        <v>22</v>
      </c>
      <c r="E8" s="4"/>
    </row>
    <row r="9" spans="2:7" ht="19.5" thickBot="1" x14ac:dyDescent="0.45">
      <c r="B9" s="7">
        <v>46145</v>
      </c>
      <c r="C9" s="5" t="s">
        <v>23</v>
      </c>
      <c r="D9" s="5" t="s">
        <v>24</v>
      </c>
      <c r="E9" s="6"/>
    </row>
    <row r="10" spans="2:7" ht="19.5" thickBot="1" x14ac:dyDescent="0.45">
      <c r="B10" s="7">
        <v>46146</v>
      </c>
      <c r="C10" s="5" t="s">
        <v>1</v>
      </c>
      <c r="D10" s="3" t="s">
        <v>25</v>
      </c>
      <c r="E10" s="4"/>
    </row>
    <row r="11" spans="2:7" x14ac:dyDescent="0.4">
      <c r="B11" s="7">
        <v>46147</v>
      </c>
      <c r="C11" s="5" t="s">
        <v>15</v>
      </c>
      <c r="D11" s="5" t="s">
        <v>26</v>
      </c>
      <c r="E11" s="6"/>
    </row>
    <row r="12" spans="2:7" ht="19.5" thickBot="1" x14ac:dyDescent="0.45">
      <c r="B12" s="7">
        <v>46223</v>
      </c>
      <c r="C12" s="5" t="s">
        <v>15</v>
      </c>
      <c r="D12" s="5" t="s">
        <v>27</v>
      </c>
      <c r="E12" s="6"/>
    </row>
    <row r="13" spans="2:7" ht="19.5" thickBot="1" x14ac:dyDescent="0.45">
      <c r="B13" s="2">
        <v>46245</v>
      </c>
      <c r="C13" s="3" t="s">
        <v>28</v>
      </c>
      <c r="D13" s="3" t="s">
        <v>29</v>
      </c>
      <c r="E13" s="4"/>
    </row>
    <row r="14" spans="2:7" ht="19.5" thickBot="1" x14ac:dyDescent="0.45">
      <c r="B14" s="2">
        <v>46280</v>
      </c>
      <c r="C14" s="3" t="s">
        <v>15</v>
      </c>
      <c r="D14" s="3" t="s">
        <v>30</v>
      </c>
      <c r="E14" s="6"/>
    </row>
    <row r="15" spans="2:7" ht="19.5" thickBot="1" x14ac:dyDescent="0.45">
      <c r="B15" s="7">
        <v>46288</v>
      </c>
      <c r="C15" s="5" t="s">
        <v>17</v>
      </c>
      <c r="D15" s="5" t="s">
        <v>31</v>
      </c>
      <c r="E15" s="4"/>
    </row>
    <row r="16" spans="2:7" ht="19.5" thickBot="1" x14ac:dyDescent="0.45">
      <c r="B16" s="7">
        <v>46307</v>
      </c>
      <c r="C16" s="5" t="s">
        <v>15</v>
      </c>
      <c r="D16" s="5" t="s">
        <v>32</v>
      </c>
      <c r="E16" s="6"/>
    </row>
    <row r="17" spans="2:5" ht="19.5" thickBot="1" x14ac:dyDescent="0.45">
      <c r="B17" s="2">
        <v>46329</v>
      </c>
      <c r="C17" s="3" t="s">
        <v>28</v>
      </c>
      <c r="D17" s="3" t="s">
        <v>33</v>
      </c>
      <c r="E17" s="4"/>
    </row>
    <row r="18" spans="2:5" ht="19.5" thickBot="1" x14ac:dyDescent="0.45">
      <c r="B18" s="2">
        <v>46349</v>
      </c>
      <c r="C18" s="3" t="s">
        <v>34</v>
      </c>
      <c r="D18" s="3" t="s">
        <v>35</v>
      </c>
      <c r="E18" s="6"/>
    </row>
    <row r="19" spans="2:5" ht="19.5" thickBot="1" x14ac:dyDescent="0.45">
      <c r="B19" s="2"/>
      <c r="C19" s="3"/>
      <c r="D19" s="3"/>
      <c r="E19" s="4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081D-20F2-46ED-92BC-6709DD08F45D}">
  <sheetPr codeName="sh_dayoff"/>
  <dimension ref="A1:D31"/>
  <sheetViews>
    <sheetView zoomScale="115" zoomScaleNormal="115" workbookViewId="0">
      <selection activeCell="B3" sqref="B3"/>
    </sheetView>
  </sheetViews>
  <sheetFormatPr defaultRowHeight="18.75" x14ac:dyDescent="0.4"/>
  <cols>
    <col min="1" max="1" width="18.375" customWidth="1"/>
    <col min="2" max="2" width="11.25" bestFit="1" customWidth="1"/>
  </cols>
  <sheetData>
    <row r="1" spans="1:4" x14ac:dyDescent="0.4">
      <c r="A1" s="8">
        <v>46011</v>
      </c>
    </row>
    <row r="3" spans="1:4" x14ac:dyDescent="0.4">
      <c r="B3" s="8">
        <v>46020</v>
      </c>
      <c r="D3" t="s">
        <v>57</v>
      </c>
    </row>
    <row r="4" spans="1:4" x14ac:dyDescent="0.4">
      <c r="B4" s="8">
        <v>46021</v>
      </c>
    </row>
    <row r="5" spans="1:4" x14ac:dyDescent="0.4">
      <c r="B5" s="8">
        <v>46022</v>
      </c>
    </row>
    <row r="6" spans="1:4" x14ac:dyDescent="0.4">
      <c r="B6" s="8">
        <v>46024</v>
      </c>
    </row>
    <row r="7" spans="1:4" x14ac:dyDescent="0.4">
      <c r="B7" s="8">
        <v>46027</v>
      </c>
    </row>
    <row r="8" spans="1:4" x14ac:dyDescent="0.4">
      <c r="B8" s="8">
        <v>46028</v>
      </c>
    </row>
    <row r="9" spans="1:4" x14ac:dyDescent="0.4">
      <c r="B9" s="8">
        <v>46029</v>
      </c>
    </row>
    <row r="10" spans="1:4" x14ac:dyDescent="0.4">
      <c r="B10" s="8">
        <v>46034</v>
      </c>
    </row>
    <row r="11" spans="1:4" x14ac:dyDescent="0.4">
      <c r="B11" s="8">
        <v>46094</v>
      </c>
    </row>
    <row r="12" spans="1:4" x14ac:dyDescent="0.4">
      <c r="B12" s="8">
        <v>46118</v>
      </c>
    </row>
    <row r="13" spans="1:4" x14ac:dyDescent="0.4">
      <c r="B13" s="8">
        <v>46142</v>
      </c>
    </row>
    <row r="14" spans="1:4" x14ac:dyDescent="0.4">
      <c r="B14" s="8">
        <v>46143</v>
      </c>
    </row>
    <row r="15" spans="1:4" x14ac:dyDescent="0.4">
      <c r="B15" s="8">
        <v>46181</v>
      </c>
    </row>
    <row r="16" spans="1:4" x14ac:dyDescent="0.4">
      <c r="B16" s="8">
        <v>46195</v>
      </c>
    </row>
    <row r="17" spans="2:2" x14ac:dyDescent="0.4">
      <c r="B17" s="8">
        <v>46209</v>
      </c>
    </row>
    <row r="18" spans="2:2" x14ac:dyDescent="0.4">
      <c r="B18" s="8">
        <v>46224</v>
      </c>
    </row>
    <row r="19" spans="2:2" x14ac:dyDescent="0.4">
      <c r="B19" s="8">
        <v>46240</v>
      </c>
    </row>
    <row r="20" spans="2:2" x14ac:dyDescent="0.4">
      <c r="B20" s="8">
        <v>46241</v>
      </c>
    </row>
    <row r="21" spans="2:2" x14ac:dyDescent="0.4">
      <c r="B21" s="8">
        <v>46244</v>
      </c>
    </row>
    <row r="22" spans="2:2" x14ac:dyDescent="0.4">
      <c r="B22" s="8">
        <v>46246</v>
      </c>
    </row>
    <row r="23" spans="2:2" x14ac:dyDescent="0.4">
      <c r="B23" s="8">
        <v>46247</v>
      </c>
    </row>
    <row r="24" spans="2:2" x14ac:dyDescent="0.4">
      <c r="B24" s="8">
        <v>46248</v>
      </c>
    </row>
    <row r="25" spans="2:2" x14ac:dyDescent="0.4">
      <c r="B25" s="8">
        <v>46303</v>
      </c>
    </row>
    <row r="26" spans="2:2" x14ac:dyDescent="0.4">
      <c r="B26" s="8">
        <v>46314</v>
      </c>
    </row>
    <row r="27" spans="2:2" x14ac:dyDescent="0.4">
      <c r="B27" s="8">
        <v>46328</v>
      </c>
    </row>
    <row r="28" spans="2:2" x14ac:dyDescent="0.4">
      <c r="B28" s="8">
        <v>46384</v>
      </c>
    </row>
    <row r="29" spans="2:2" x14ac:dyDescent="0.4">
      <c r="B29" s="8">
        <v>46385</v>
      </c>
    </row>
    <row r="30" spans="2:2" x14ac:dyDescent="0.4">
      <c r="B30" s="8">
        <v>46386</v>
      </c>
    </row>
    <row r="31" spans="2:2" x14ac:dyDescent="0.4">
      <c r="B31" s="8">
        <v>46387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出勤簿</vt:lpstr>
      <vt:lpstr>祝日</vt:lpstr>
      <vt:lpstr>設定休日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真由美</dc:creator>
  <cp:lastModifiedBy>Kaori Nishimura</cp:lastModifiedBy>
  <dcterms:created xsi:type="dcterms:W3CDTF">2025-12-11T04:44:57Z</dcterms:created>
  <dcterms:modified xsi:type="dcterms:W3CDTF">2025-12-19T18:15:11Z</dcterms:modified>
</cp:coreProperties>
</file>